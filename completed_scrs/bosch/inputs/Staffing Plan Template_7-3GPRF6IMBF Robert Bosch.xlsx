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tables/table2.xml" ContentType="application/vnd.openxmlformats-officedocument.spreadsheetml.table+xml"/>
  <Override PartName="/xl/comments4.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harts/chart1.xml" ContentType="application/vnd.openxmlformats-officedocument.drawingml.chart+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defaultThemeVersion="166925"/>
  <mc:AlternateContent xmlns:mc="http://schemas.openxmlformats.org/markup-compatibility/2006">
    <mc:Choice Requires="x15">
      <x15ac:absPath xmlns:x15ac="http://schemas.microsoft.com/office/spreadsheetml/2010/11/ac" url="https://microsoft.sharepoint.com/teams/CT-50501/Shared Documents/7-3GPRF6IMBF Robert Bosch/"/>
    </mc:Choice>
  </mc:AlternateContent>
  <xr:revisionPtr revIDLastSave="0" documentId="8_{3DC15577-FD6E-499F-BD07-CA1BFF5816C2}" xr6:coauthVersionLast="47" xr6:coauthVersionMax="47" xr10:uidLastSave="{00000000-0000-0000-0000-000000000000}"/>
  <bookViews>
    <workbookView xWindow="-28920" yWindow="18705" windowWidth="29040" windowHeight="15720" firstSheet="6" activeTab="6" xr2:uid="{8B25184F-4076-4175-A3A9-24E19814932A}"/>
  </bookViews>
  <sheets>
    <sheet name="Staffing Plan" sheetId="6" state="hidden" r:id="rId1"/>
    <sheet name="Assumptions" sheetId="16" state="hidden" r:id="rId2"/>
    <sheet name="Resource Skills" sheetId="10" state="hidden" r:id="rId3"/>
    <sheet name="Checklist" sheetId="12" state="hidden" r:id="rId4"/>
    <sheet name="Version" sheetId="13" state="hidden" r:id="rId5"/>
    <sheet name="WBS" sheetId="14" state="hidden" r:id="rId6"/>
    <sheet name="CS Staffing Plan UPDATED" sheetId="18" r:id="rId7"/>
    <sheet name="ACR" sheetId="19" state="hidden" r:id="rId8"/>
    <sheet name="SkillList" sheetId="7" state="hidden" r:id="rId9"/>
    <sheet name="Rates" sheetId="4" state="hidden" r:id="rId10"/>
    <sheet name="Helper" sheetId="8" state="hidden" r:id="rId11"/>
    <sheet name="Helper2" sheetId="9" state="hidden" r:id="rId12"/>
    <sheet name="Helper3" sheetId="15" state="hidden" r:id="rId13"/>
  </sheets>
  <externalReferences>
    <externalReference r:id="rId14"/>
  </externalReferences>
  <definedNames>
    <definedName name="RoleNames">Helper!$A$1:$A$50</definedName>
    <definedName name="RoleNameSource">Helper!$B$1:$AF$50</definedName>
    <definedName name="StaffingTable" localSheetId="6">Table13[#All]</definedName>
    <definedName name="StaffingTable">Table1[#All]</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0" i="18" l="1"/>
  <c r="I49" i="18"/>
  <c r="K39" i="18"/>
  <c r="P39" i="18" s="1"/>
  <c r="I39" i="18"/>
  <c r="I40" i="18"/>
  <c r="J40" i="18"/>
  <c r="L40" i="18"/>
  <c r="I34" i="18"/>
  <c r="K34" i="18"/>
  <c r="P34" i="18" s="1"/>
  <c r="I35" i="18"/>
  <c r="K35" i="18"/>
  <c r="I36" i="18"/>
  <c r="K36" i="18"/>
  <c r="P36" i="18"/>
  <c r="I37" i="18"/>
  <c r="K37" i="18"/>
  <c r="P37" i="18"/>
  <c r="I38" i="18"/>
  <c r="K38" i="18"/>
  <c r="P38" i="18"/>
  <c r="I41" i="18"/>
  <c r="K41" i="18"/>
  <c r="K46" i="18"/>
  <c r="I46" i="18"/>
  <c r="I47" i="18"/>
  <c r="K47" i="18"/>
  <c r="I43" i="18"/>
  <c r="K33" i="18"/>
  <c r="S16" i="18"/>
  <c r="N19" i="6" a="1"/>
  <c r="N26" i="6" a="1"/>
  <c r="N28" i="6" a="1"/>
  <c r="N36" i="6" a="1"/>
  <c r="N50" i="6" a="1"/>
  <c r="N59" i="6" a="1"/>
  <c r="N64" i="6" a="1"/>
  <c r="M19" i="6" a="1"/>
  <c r="M26" i="6" a="1"/>
  <c r="M28" i="6" a="1"/>
  <c r="M36" i="6" a="1"/>
  <c r="M50" i="6" a="1"/>
  <c r="M59" i="6" a="1"/>
  <c r="M64" i="6" a="1"/>
  <c r="L33" i="6"/>
  <c r="J33" i="6"/>
  <c r="I33" i="6"/>
  <c r="I61" i="6"/>
  <c r="I62" i="6"/>
  <c r="I63" i="6"/>
  <c r="I60" i="6"/>
  <c r="I66" i="6"/>
  <c r="I67" i="6"/>
  <c r="I68" i="6"/>
  <c r="I69" i="6"/>
  <c r="I65" i="6"/>
  <c r="I52" i="6"/>
  <c r="I53" i="6"/>
  <c r="I54" i="6"/>
  <c r="I55" i="6"/>
  <c r="I56" i="6"/>
  <c r="I57" i="6"/>
  <c r="I58" i="6"/>
  <c r="I51" i="6"/>
  <c r="I38" i="6"/>
  <c r="I39" i="6"/>
  <c r="I40" i="6"/>
  <c r="I41" i="6"/>
  <c r="I42" i="6"/>
  <c r="I43" i="6"/>
  <c r="I44" i="6"/>
  <c r="I45" i="6"/>
  <c r="I46" i="6"/>
  <c r="I47" i="6"/>
  <c r="I48" i="6"/>
  <c r="I49" i="6"/>
  <c r="I37" i="6"/>
  <c r="I30" i="6"/>
  <c r="I31" i="6"/>
  <c r="I32" i="6"/>
  <c r="I34" i="6"/>
  <c r="I35" i="6"/>
  <c r="I29" i="6"/>
  <c r="I21" i="6"/>
  <c r="I22" i="6"/>
  <c r="I23" i="6"/>
  <c r="I24" i="6"/>
  <c r="I25" i="6"/>
  <c r="I20" i="6"/>
  <c r="J48" i="6"/>
  <c r="K48" i="6" s="1"/>
  <c r="L48" i="6"/>
  <c r="C56" i="16"/>
  <c r="E7" i="18" a="1"/>
  <c r="I20" i="18"/>
  <c r="I21" i="18"/>
  <c r="I22" i="18"/>
  <c r="K22" i="18"/>
  <c r="I23" i="18"/>
  <c r="K23" i="18"/>
  <c r="I24" i="18"/>
  <c r="K24" i="18"/>
  <c r="I26" i="18"/>
  <c r="I27" i="18"/>
  <c r="K27" i="18"/>
  <c r="I28" i="18"/>
  <c r="I29" i="18"/>
  <c r="K29" i="18"/>
  <c r="I30" i="18"/>
  <c r="J30" i="18"/>
  <c r="I31" i="18"/>
  <c r="J31" i="18"/>
  <c r="I32" i="18"/>
  <c r="I33" i="18"/>
  <c r="I44" i="18"/>
  <c r="I45" i="18"/>
  <c r="A6" i="18"/>
  <c r="B6" i="18"/>
  <c r="J44" i="6"/>
  <c r="J45" i="6"/>
  <c r="L44" i="6"/>
  <c r="L45" i="6"/>
  <c r="J46" i="6"/>
  <c r="L46" i="6"/>
  <c r="J42" i="6"/>
  <c r="K42" i="6" s="1"/>
  <c r="P42" i="6" s="1"/>
  <c r="L42" i="6"/>
  <c r="J43" i="6"/>
  <c r="L43" i="6"/>
  <c r="J47" i="6"/>
  <c r="K47" i="6" s="1"/>
  <c r="P47" i="6" s="1"/>
  <c r="L47" i="6"/>
  <c r="J57" i="6"/>
  <c r="K57" i="6" s="1"/>
  <c r="J58" i="6"/>
  <c r="K58" i="6" s="1"/>
  <c r="L57" i="6"/>
  <c r="L58" i="6"/>
  <c r="J60" i="6"/>
  <c r="J61" i="6"/>
  <c r="K61" i="6" s="1"/>
  <c r="P61" i="6" s="1"/>
  <c r="L60" i="6"/>
  <c r="L61" i="6"/>
  <c r="J37" i="6"/>
  <c r="J38" i="6"/>
  <c r="J39" i="6"/>
  <c r="J40" i="6"/>
  <c r="J41" i="6"/>
  <c r="J49" i="6"/>
  <c r="K49" i="6" s="1"/>
  <c r="J51" i="6"/>
  <c r="J52" i="6"/>
  <c r="L37" i="6"/>
  <c r="L38" i="6"/>
  <c r="L39" i="6"/>
  <c r="L40" i="6"/>
  <c r="L41" i="6"/>
  <c r="L49" i="6"/>
  <c r="L51" i="6"/>
  <c r="L52" i="6"/>
  <c r="J35" i="6"/>
  <c r="K35" i="6" s="1"/>
  <c r="J53" i="6"/>
  <c r="K53" i="6" s="1"/>
  <c r="J54" i="6"/>
  <c r="J55" i="6"/>
  <c r="K55" i="6" s="1"/>
  <c r="L35" i="6"/>
  <c r="L53" i="6"/>
  <c r="L54" i="6"/>
  <c r="L55" i="6"/>
  <c r="J56" i="6"/>
  <c r="K56" i="6" s="1"/>
  <c r="J62" i="6"/>
  <c r="K62" i="6" s="1"/>
  <c r="P62" i="6" s="1"/>
  <c r="L56" i="6"/>
  <c r="L62" i="6"/>
  <c r="J63" i="6"/>
  <c r="K63" i="6" s="1"/>
  <c r="P63" i="6" s="1"/>
  <c r="L63" i="6"/>
  <c r="B4" i="12"/>
  <c r="H5" i="14"/>
  <c r="H6" i="14"/>
  <c r="H7" i="14"/>
  <c r="H8" i="14"/>
  <c r="H9" i="14"/>
  <c r="H10" i="14"/>
  <c r="H11" i="14"/>
  <c r="H12" i="14"/>
  <c r="H13" i="14"/>
  <c r="H14" i="14"/>
  <c r="H15" i="14"/>
  <c r="H16" i="14"/>
  <c r="H17" i="14"/>
  <c r="H18" i="14"/>
  <c r="H19" i="14"/>
  <c r="H20" i="14"/>
  <c r="H21" i="14"/>
  <c r="H22" i="14"/>
  <c r="H23" i="14"/>
  <c r="H24" i="14"/>
  <c r="H25" i="14"/>
  <c r="H26" i="14"/>
  <c r="H27" i="14"/>
  <c r="H28" i="14"/>
  <c r="H29" i="14"/>
  <c r="H30" i="14"/>
  <c r="H31" i="14"/>
  <c r="H32" i="14"/>
  <c r="H33" i="14"/>
  <c r="H34" i="14"/>
  <c r="H35" i="14"/>
  <c r="H4" i="14"/>
  <c r="G5" i="14"/>
  <c r="G6" i="14"/>
  <c r="G7" i="14"/>
  <c r="G8" i="14"/>
  <c r="G9" i="14"/>
  <c r="G10" i="14"/>
  <c r="G11" i="14"/>
  <c r="G12" i="14"/>
  <c r="G13" i="14"/>
  <c r="G14" i="14"/>
  <c r="G15" i="14"/>
  <c r="G16" i="14"/>
  <c r="G17" i="14"/>
  <c r="G18" i="14"/>
  <c r="G19" i="14"/>
  <c r="G20" i="14"/>
  <c r="G21" i="14"/>
  <c r="G22" i="14"/>
  <c r="G23" i="14"/>
  <c r="G24" i="14"/>
  <c r="G25" i="14"/>
  <c r="G26" i="14"/>
  <c r="G27" i="14"/>
  <c r="G28" i="14"/>
  <c r="G29" i="14"/>
  <c r="G30" i="14"/>
  <c r="G31" i="14"/>
  <c r="G32" i="14"/>
  <c r="G33" i="14"/>
  <c r="G34" i="14"/>
  <c r="G35" i="14"/>
  <c r="G4" i="14"/>
  <c r="F5" i="14"/>
  <c r="F6" i="14"/>
  <c r="F7" i="14"/>
  <c r="F8" i="14"/>
  <c r="F9" i="14"/>
  <c r="F10" i="14"/>
  <c r="F11" i="14"/>
  <c r="F12" i="14"/>
  <c r="F13" i="14"/>
  <c r="F14" i="14"/>
  <c r="F15" i="14"/>
  <c r="F16" i="14"/>
  <c r="F17" i="14"/>
  <c r="F18" i="14"/>
  <c r="F19" i="14"/>
  <c r="F20" i="14"/>
  <c r="F21" i="14"/>
  <c r="F22" i="14"/>
  <c r="F23" i="14"/>
  <c r="F24" i="14"/>
  <c r="F25" i="14"/>
  <c r="F26" i="14"/>
  <c r="F27" i="14"/>
  <c r="F28" i="14"/>
  <c r="F29" i="14"/>
  <c r="F30" i="14"/>
  <c r="F31" i="14"/>
  <c r="F32" i="14"/>
  <c r="F33" i="14"/>
  <c r="F34" i="14"/>
  <c r="F35" i="14"/>
  <c r="I35" i="14" s="1"/>
  <c r="F4" i="14"/>
  <c r="M4" i="14" a="1"/>
  <c r="N7" i="14" s="1" a="1"/>
  <c r="E7" i="6" a="1"/>
  <c r="B56" i="12"/>
  <c r="J69" i="6"/>
  <c r="K69" i="6" s="1"/>
  <c r="J68" i="6"/>
  <c r="K68" i="6" s="1"/>
  <c r="J67" i="6"/>
  <c r="K67" i="6" s="1"/>
  <c r="J66" i="6"/>
  <c r="K66" i="6" s="1"/>
  <c r="J65" i="6"/>
  <c r="K65" i="6" s="1"/>
  <c r="J34" i="6"/>
  <c r="K34" i="6" s="1"/>
  <c r="J32" i="6"/>
  <c r="K32" i="6" s="1"/>
  <c r="J31" i="6"/>
  <c r="K31" i="6" s="1"/>
  <c r="J30" i="6"/>
  <c r="K30" i="6" s="1"/>
  <c r="J29" i="6"/>
  <c r="K29" i="6" s="1"/>
  <c r="J27" i="6"/>
  <c r="K27" i="6" s="1"/>
  <c r="J25" i="6"/>
  <c r="K25" i="6" s="1"/>
  <c r="J24" i="6"/>
  <c r="K24" i="6" s="1"/>
  <c r="J23" i="6"/>
  <c r="K23" i="6" s="1"/>
  <c r="J22" i="6"/>
  <c r="K22" i="6" s="1"/>
  <c r="J21" i="6"/>
  <c r="K21" i="6" s="1"/>
  <c r="J20" i="6"/>
  <c r="K20" i="6" s="1"/>
  <c r="P20" i="6" s="1"/>
  <c r="L25" i="6"/>
  <c r="L24" i="6"/>
  <c r="L23" i="6"/>
  <c r="L22" i="6"/>
  <c r="L21" i="6"/>
  <c r="L20" i="6"/>
  <c r="L69" i="6"/>
  <c r="L68" i="6"/>
  <c r="L67" i="6"/>
  <c r="L66" i="6"/>
  <c r="L65" i="6"/>
  <c r="L34" i="6"/>
  <c r="L32" i="6"/>
  <c r="L31" i="6"/>
  <c r="L30" i="6"/>
  <c r="L29" i="6"/>
  <c r="L27" i="6"/>
  <c r="B29" i="12"/>
  <c r="B4" i="10" a="1"/>
  <c r="B11" i="6"/>
  <c r="I27" i="6"/>
  <c r="K20" i="18"/>
  <c r="K28" i="18"/>
  <c r="P28" i="18"/>
  <c r="K21" i="18"/>
  <c r="K32" i="18"/>
  <c r="K43" i="18"/>
  <c r="K50" i="18"/>
  <c r="P50" i="18" s="1"/>
  <c r="K26" i="18"/>
  <c r="K44" i="18"/>
  <c r="K45" i="18"/>
  <c r="P45" i="18" s="1"/>
  <c r="K49" i="18"/>
  <c r="P49" i="18" s="1"/>
  <c r="I26" i="14"/>
  <c r="I27" i="14"/>
  <c r="I29" i="14"/>
  <c r="I30" i="14"/>
  <c r="I31" i="14"/>
  <c r="I32" i="14"/>
  <c r="I33" i="14"/>
  <c r="I28" i="14"/>
  <c r="I4" i="14"/>
  <c r="P41" i="18" l="1"/>
  <c r="K45" i="6"/>
  <c r="P45" i="6" s="1"/>
  <c r="I34" i="14"/>
  <c r="N39" i="18"/>
  <c r="M39" i="18"/>
  <c r="N40" i="18"/>
  <c r="K40" i="18"/>
  <c r="P22" i="18"/>
  <c r="N36" i="18"/>
  <c r="N41" i="18"/>
  <c r="M35" i="18"/>
  <c r="M37" i="18"/>
  <c r="N38" i="18"/>
  <c r="M34" i="18"/>
  <c r="N35" i="18"/>
  <c r="N37" i="18"/>
  <c r="M38" i="18"/>
  <c r="N34" i="18"/>
  <c r="P35" i="18"/>
  <c r="M36" i="18"/>
  <c r="M41" i="18"/>
  <c r="N5" i="14" a="1"/>
  <c r="N6" i="14" a="1"/>
  <c r="N8" i="14" a="1"/>
  <c r="F8" i="6" a="1"/>
  <c r="F9" i="6" a="1"/>
  <c r="F10" i="6" a="1"/>
  <c r="F11" i="6" a="1"/>
  <c r="I8" i="14"/>
  <c r="N4" i="14" s="1" a="1"/>
  <c r="I7" i="14"/>
  <c r="I6" i="14"/>
  <c r="D10" i="6"/>
  <c r="P69" i="6"/>
  <c r="P68" i="6"/>
  <c r="P66" i="6"/>
  <c r="P65" i="6"/>
  <c r="P67" i="6"/>
  <c r="K44" i="6"/>
  <c r="P44" i="6" s="1"/>
  <c r="K37" i="6"/>
  <c r="K38" i="6"/>
  <c r="K40" i="6"/>
  <c r="K41" i="6"/>
  <c r="N31" i="18"/>
  <c r="N30" i="18"/>
  <c r="P29" i="18"/>
  <c r="N32" i="18"/>
  <c r="F7" i="18" s="1" a="1"/>
  <c r="N46" i="18"/>
  <c r="M46" i="18"/>
  <c r="D9" i="18"/>
  <c r="K51" i="6"/>
  <c r="N43" i="18"/>
  <c r="M29" i="18"/>
  <c r="M47" i="18"/>
  <c r="N47" i="18"/>
  <c r="P47" i="18"/>
  <c r="K30" i="18"/>
  <c r="N44" i="18"/>
  <c r="P23" i="18"/>
  <c r="P27" i="18"/>
  <c r="K39" i="6"/>
  <c r="P24" i="18"/>
  <c r="N45" i="18"/>
  <c r="M27" i="18"/>
  <c r="N27" i="18"/>
  <c r="M28" i="18"/>
  <c r="N28" i="18"/>
  <c r="T16" i="18"/>
  <c r="N20" i="6" a="1"/>
  <c r="N21" i="6" a="1"/>
  <c r="N22" i="6" a="1"/>
  <c r="N23" i="6" a="1"/>
  <c r="M25" i="6" a="1"/>
  <c r="M29" i="6" a="1"/>
  <c r="M31" i="6" a="1"/>
  <c r="M34" i="6" a="1"/>
  <c r="M45" i="6" a="1"/>
  <c r="M54" i="6" a="1"/>
  <c r="M40" i="6" a="1"/>
  <c r="M47" i="6" a="1"/>
  <c r="M51" i="6" a="1"/>
  <c r="M53" i="6" a="1"/>
  <c r="M57" i="6" a="1"/>
  <c r="M61" i="6" a="1"/>
  <c r="F11" i="18" a="1"/>
  <c r="K31" i="18"/>
  <c r="M33" i="18"/>
  <c r="M24" i="6" a="1"/>
  <c r="N25" i="6" a="1"/>
  <c r="N29" i="6" a="1"/>
  <c r="N30" i="6" a="1"/>
  <c r="N31" i="6" a="1"/>
  <c r="N32" i="6" a="1"/>
  <c r="N33" i="6" a="1"/>
  <c r="N34" i="6" a="1"/>
  <c r="N35" i="6" a="1"/>
  <c r="N37" i="6" a="1"/>
  <c r="N38" i="6" a="1"/>
  <c r="N39" i="6" a="1"/>
  <c r="N40" i="6" a="1"/>
  <c r="N41" i="6" a="1"/>
  <c r="N42" i="6" a="1"/>
  <c r="N43" i="6" a="1"/>
  <c r="N44" i="6" a="1"/>
  <c r="N45" i="6" a="1"/>
  <c r="N46" i="6" a="1"/>
  <c r="N47" i="6" a="1"/>
  <c r="N48" i="6" a="1"/>
  <c r="N49" i="6" a="1"/>
  <c r="N51" i="6" a="1"/>
  <c r="N52" i="6" a="1"/>
  <c r="N60" i="6" a="1"/>
  <c r="N61" i="6" a="1"/>
  <c r="N62" i="6" a="1"/>
  <c r="N63" i="6" a="1"/>
  <c r="N65" i="6" a="1"/>
  <c r="N66" i="6" a="1"/>
  <c r="N67" i="6" a="1"/>
  <c r="N68" i="6" a="1"/>
  <c r="N69" i="6" a="1"/>
  <c r="M20" i="6" a="1"/>
  <c r="M21" i="6" a="1"/>
  <c r="M22" i="6" a="1"/>
  <c r="M23" i="6" a="1"/>
  <c r="M27" i="6" a="1"/>
  <c r="M30" i="6" a="1"/>
  <c r="M32" i="6" a="1"/>
  <c r="M35" i="6" a="1"/>
  <c r="M48" i="6" a="1"/>
  <c r="M56" i="6" a="1"/>
  <c r="M49" i="6" a="1"/>
  <c r="M52" i="6" a="1"/>
  <c r="M55" i="6" a="1"/>
  <c r="M60" i="6" a="1"/>
  <c r="M68" i="6" a="1"/>
  <c r="F9" i="18" a="1"/>
  <c r="F8" i="18" a="1"/>
  <c r="N33" i="18"/>
  <c r="K33" i="6"/>
  <c r="P33" i="6" s="1"/>
  <c r="D10" i="18"/>
  <c r="I9" i="14"/>
  <c r="I13" i="14"/>
  <c r="I14" i="14"/>
  <c r="I16" i="14"/>
  <c r="I25" i="14"/>
  <c r="M42" i="6" a="1"/>
  <c r="M62" i="6" a="1"/>
  <c r="F10" i="18" a="1"/>
  <c r="N50" i="18" a="1"/>
  <c r="P49" i="6"/>
  <c r="K60" i="6"/>
  <c r="P60" i="6" s="1"/>
  <c r="K52" i="6"/>
  <c r="P53" i="6"/>
  <c r="K54" i="6"/>
  <c r="I12" i="14"/>
  <c r="I24" i="14"/>
  <c r="M26" i="18"/>
  <c r="P33" i="18"/>
  <c r="N24" i="6" a="1"/>
  <c r="P48" i="6"/>
  <c r="N20" i="18" a="1"/>
  <c r="N21" i="18" a="1"/>
  <c r="N22" i="18" a="1"/>
  <c r="M22" i="18" a="1"/>
  <c r="M23" i="18" a="1"/>
  <c r="N23" i="18" a="1"/>
  <c r="N24" i="18" a="1"/>
  <c r="M24" i="18" a="1"/>
  <c r="N49" i="18" a="1"/>
  <c r="M49" i="18" a="1"/>
  <c r="K46" i="6"/>
  <c r="P57" i="6"/>
  <c r="P58" i="6"/>
  <c r="K43" i="6"/>
  <c r="P51" i="6"/>
  <c r="P56" i="6"/>
  <c r="P38" i="6"/>
  <c r="P37" i="6"/>
  <c r="P41" i="6"/>
  <c r="P35" i="6"/>
  <c r="P55" i="6"/>
  <c r="I5" i="14"/>
  <c r="I11" i="14"/>
  <c r="I15" i="14"/>
  <c r="I23" i="14"/>
  <c r="I17" i="14"/>
  <c r="I18" i="14"/>
  <c r="I19" i="14"/>
  <c r="I20" i="14"/>
  <c r="I21" i="14"/>
  <c r="I22" i="14"/>
  <c r="N29" i="18"/>
  <c r="N27" i="6" a="1"/>
  <c r="M58" i="6" a="1"/>
  <c r="M63" i="6" a="1"/>
  <c r="M65" i="6" a="1"/>
  <c r="M66" i="6" a="1"/>
  <c r="M67" i="6" a="1"/>
  <c r="M69" i="6" a="1"/>
  <c r="N53" i="6" a="1"/>
  <c r="N54" i="6" a="1"/>
  <c r="N55" i="6" a="1"/>
  <c r="N56" i="6" a="1"/>
  <c r="N57" i="6" a="1"/>
  <c r="N58" i="6" a="1"/>
  <c r="N26" i="18"/>
  <c r="I10" i="14"/>
  <c r="P21" i="18"/>
  <c r="F7" i="6" a="1"/>
  <c r="P46" i="18"/>
  <c r="P26" i="18"/>
  <c r="M43" i="18"/>
  <c r="P43" i="18"/>
  <c r="P20" i="18"/>
  <c r="M20" i="18" a="1"/>
  <c r="M45" i="18"/>
  <c r="P44" i="18"/>
  <c r="M44" i="18"/>
  <c r="M32" i="18"/>
  <c r="P32" i="18"/>
  <c r="M21" i="18" a="1"/>
  <c r="M50" i="18" a="1"/>
  <c r="P21" i="6"/>
  <c r="P23" i="6"/>
  <c r="P22" i="6"/>
  <c r="P25" i="6"/>
  <c r="P24" i="6"/>
  <c r="P32" i="6"/>
  <c r="P29" i="6"/>
  <c r="P27" i="6"/>
  <c r="P30" i="6"/>
  <c r="P31" i="6"/>
  <c r="P34" i="6"/>
  <c r="O39" i="18" l="1"/>
  <c r="P40" i="18"/>
  <c r="M40" i="18"/>
  <c r="O40" i="18" s="1"/>
  <c r="P40" i="6"/>
  <c r="O35" i="18"/>
  <c r="O37" i="18"/>
  <c r="O34" i="18"/>
  <c r="O38" i="18"/>
  <c r="O36" i="18"/>
  <c r="O41" i="18"/>
  <c r="M37" i="6" a="1"/>
  <c r="M38" i="6" a="1"/>
  <c r="M41" i="6" a="1"/>
  <c r="M44" i="6" a="1"/>
  <c r="M43" i="6" a="1"/>
  <c r="M30" i="18"/>
  <c r="P30" i="18"/>
  <c r="U16" i="18"/>
  <c r="V16" i="18" s="1"/>
  <c r="W16" i="18" s="1"/>
  <c r="X16" i="18" s="1"/>
  <c r="Y16" i="18" s="1"/>
  <c r="Z16" i="18" s="1"/>
  <c r="AA16" i="18" s="1"/>
  <c r="AB16" i="18" s="1"/>
  <c r="AC16" i="18" s="1"/>
  <c r="AD16" i="18" s="1"/>
  <c r="AE16" i="18" s="1"/>
  <c r="AF16" i="18" s="1"/>
  <c r="AG16" i="18" s="1"/>
  <c r="AH16" i="18" s="1"/>
  <c r="AI16" i="18" s="1"/>
  <c r="AJ16" i="18" s="1"/>
  <c r="AK16" i="18" s="1"/>
  <c r="AL16" i="18" s="1"/>
  <c r="AM16" i="18" s="1"/>
  <c r="AN16" i="18" s="1"/>
  <c r="AO16" i="18" s="1"/>
  <c r="AP16" i="18" s="1"/>
  <c r="AQ16" i="18" s="1"/>
  <c r="AR16" i="18" s="1"/>
  <c r="AS16" i="18" s="1"/>
  <c r="AT16" i="18" s="1"/>
  <c r="AU16" i="18" s="1"/>
  <c r="AV16" i="18" s="1"/>
  <c r="AW16" i="18" s="1"/>
  <c r="AX16" i="18" s="1"/>
  <c r="AY16" i="18" s="1"/>
  <c r="AZ16" i="18" s="1"/>
  <c r="BA16" i="18" s="1"/>
  <c r="BB16" i="18" s="1"/>
  <c r="BC16" i="18" s="1"/>
  <c r="BD16" i="18" s="1"/>
  <c r="BE16" i="18" s="1"/>
  <c r="BF16" i="18" s="1"/>
  <c r="P39" i="6"/>
  <c r="M39" i="6" a="1"/>
  <c r="O44" i="18"/>
  <c r="O43" i="18"/>
  <c r="O47" i="18"/>
  <c r="P46" i="6"/>
  <c r="O29" i="18"/>
  <c r="O46" i="18"/>
  <c r="M33" i="6" a="1"/>
  <c r="O27" i="18"/>
  <c r="O28" i="18"/>
  <c r="O32" i="18"/>
  <c r="P31" i="18"/>
  <c r="M31" i="18"/>
  <c r="O31" i="18" s="1"/>
  <c r="O58" i="6"/>
  <c r="O57" i="6"/>
  <c r="P43" i="6"/>
  <c r="F12" i="18"/>
  <c r="O45" i="6"/>
  <c r="O52" i="6"/>
  <c r="O23" i="18"/>
  <c r="O63" i="6"/>
  <c r="O48" i="6"/>
  <c r="O60" i="6"/>
  <c r="O35" i="6"/>
  <c r="O49" i="6"/>
  <c r="O56" i="6"/>
  <c r="O42" i="6"/>
  <c r="P52" i="6"/>
  <c r="O22" i="18"/>
  <c r="O24" i="18"/>
  <c r="M46" i="6" a="1"/>
  <c r="O46" i="6" s="1"/>
  <c r="O33" i="18"/>
  <c r="O49" i="18"/>
  <c r="O47" i="6"/>
  <c r="P54" i="6"/>
  <c r="O40" i="6"/>
  <c r="O51" i="6"/>
  <c r="O53" i="6"/>
  <c r="O54" i="6"/>
  <c r="O61" i="6"/>
  <c r="O55" i="6"/>
  <c r="B8" i="6"/>
  <c r="O69" i="6"/>
  <c r="O66" i="6"/>
  <c r="O65" i="6"/>
  <c r="O68" i="6"/>
  <c r="O21" i="6"/>
  <c r="O20" i="6"/>
  <c r="O23" i="6"/>
  <c r="O22" i="6"/>
  <c r="O25" i="6"/>
  <c r="O24" i="6"/>
  <c r="O32" i="6"/>
  <c r="O29" i="6"/>
  <c r="O27" i="6"/>
  <c r="O30" i="6"/>
  <c r="O31" i="6"/>
  <c r="O34" i="6"/>
  <c r="O45" i="18"/>
  <c r="O26" i="18"/>
  <c r="B8" i="18"/>
  <c r="O67" i="6"/>
  <c r="O20" i="18"/>
  <c r="O62" i="6"/>
  <c r="O21" i="18"/>
  <c r="O50" i="18"/>
  <c r="D9" i="6"/>
  <c r="O37" i="6" l="1"/>
  <c r="O38" i="6"/>
  <c r="O44" i="6"/>
  <c r="O41" i="6"/>
  <c r="O30" i="18"/>
  <c r="O39" i="6"/>
  <c r="O43" i="6"/>
  <c r="B7" i="18"/>
  <c r="Q39" i="18" s="1"/>
  <c r="G8" i="18"/>
  <c r="G7" i="18"/>
  <c r="G10" i="18"/>
  <c r="G9" i="18"/>
  <c r="O33" i="6"/>
  <c r="B7" i="6"/>
  <c r="B6" i="6"/>
  <c r="A6" i="6"/>
  <c r="Q40" i="18" l="1"/>
  <c r="Q35" i="18"/>
  <c r="Q37" i="18"/>
  <c r="Q34" i="18"/>
  <c r="Q38" i="18"/>
  <c r="Q36" i="18"/>
  <c r="Q41" i="18"/>
  <c r="Q46" i="18"/>
  <c r="Q33" i="6"/>
  <c r="Q43" i="6"/>
  <c r="Q60" i="6"/>
  <c r="Q61" i="6"/>
  <c r="Q38" i="6"/>
  <c r="Q23" i="6"/>
  <c r="Q25" i="6"/>
  <c r="Q48" i="6"/>
  <c r="D11" i="6"/>
  <c r="B10" i="6"/>
  <c r="Q34" i="6"/>
  <c r="Q27" i="6"/>
  <c r="Q68" i="6"/>
  <c r="Q67" i="6"/>
  <c r="Q66" i="6"/>
  <c r="Q65" i="6"/>
  <c r="Q30" i="6"/>
  <c r="Q69" i="6"/>
  <c r="Q24" i="6"/>
  <c r="Q29" i="6"/>
  <c r="Q50" i="18"/>
  <c r="Q21" i="18"/>
  <c r="Q22" i="18"/>
  <c r="Q23" i="18"/>
  <c r="Q24" i="18"/>
  <c r="Q33" i="18"/>
  <c r="Q31" i="18"/>
  <c r="Q20" i="18"/>
  <c r="B10" i="18"/>
  <c r="Q45" i="18"/>
  <c r="Q44" i="18"/>
  <c r="Q32" i="18"/>
  <c r="Q30" i="18"/>
  <c r="Q29" i="18"/>
  <c r="Q28" i="18"/>
  <c r="Q27" i="18"/>
  <c r="Q26" i="18"/>
  <c r="D11" i="18"/>
  <c r="Q49" i="18"/>
  <c r="D2" i="18"/>
  <c r="Q43" i="18"/>
  <c r="Q47" i="18"/>
  <c r="Q45" i="6"/>
  <c r="Q44" i="6"/>
  <c r="Q42" i="6"/>
  <c r="Q46" i="6"/>
  <c r="Q47" i="6"/>
  <c r="Q57" i="6"/>
  <c r="Q58" i="6"/>
  <c r="Q39" i="6"/>
  <c r="Q40" i="6"/>
  <c r="Q41" i="6"/>
  <c r="Q51" i="6"/>
  <c r="Q37" i="6"/>
  <c r="Q49" i="6"/>
  <c r="Q52" i="6"/>
  <c r="Q35" i="6"/>
  <c r="Q53" i="6"/>
  <c r="Q54" i="6"/>
  <c r="Q55" i="6"/>
  <c r="Q56" i="6"/>
  <c r="Q62" i="6"/>
  <c r="Q63" i="6"/>
  <c r="Q31" i="6"/>
  <c r="Q32" i="6"/>
  <c r="Q20" i="6"/>
  <c r="Q21" i="6"/>
  <c r="Q22" i="6"/>
  <c r="D64" i="6" l="1"/>
  <c r="D26" i="6"/>
  <c r="D25" i="18"/>
  <c r="D48" i="18"/>
  <c r="D42" i="18"/>
  <c r="D19" i="18"/>
  <c r="D8" i="18" s="1"/>
  <c r="D6" i="18"/>
  <c r="D7" i="18" s="1"/>
  <c r="D59" i="6"/>
  <c r="D28" i="6"/>
  <c r="D6" i="6"/>
  <c r="D7" i="6" s="1"/>
  <c r="D19" i="6"/>
  <c r="D8" i="6" s="1"/>
  <c r="D50" i="6"/>
  <c r="D36" i="6"/>
  <c r="A1" i="8" l="1" a="1"/>
  <c r="B12" i="8" l="1" a="1"/>
  <c r="B10" i="8" a="1"/>
  <c r="B17" i="8" a="1"/>
  <c r="B8" i="8" a="1"/>
  <c r="B2" i="8" a="1"/>
  <c r="B5" i="8" a="1"/>
  <c r="B13" i="8" a="1"/>
  <c r="B11" i="8" a="1"/>
  <c r="B7" i="8" a="1"/>
  <c r="B9" i="8" a="1"/>
  <c r="B3" i="8" a="1"/>
  <c r="B6" i="8" a="1"/>
  <c r="B4" i="8" a="1"/>
  <c r="B16" i="8" a="1"/>
  <c r="B14" i="8" a="1"/>
  <c r="B15" i="8" a="1"/>
  <c r="B1" i="8" a="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Jeffrey Rosen</author>
    <author>Sean Leavitt</author>
  </authors>
  <commentList>
    <comment ref="C4" authorId="0" shapeId="0" xr:uid="{6CDCEC96-CFB4-45C5-8D2B-179FDDBA8A59}">
      <text>
        <r>
          <rPr>
            <b/>
            <sz val="9"/>
            <color indexed="81"/>
            <rFont val="Tahoma"/>
            <family val="2"/>
          </rPr>
          <t>Jeffrey Rosen:</t>
        </r>
        <r>
          <rPr>
            <sz val="9"/>
            <color indexed="81"/>
            <rFont val="Tahoma"/>
            <family val="2"/>
          </rPr>
          <t xml:space="preserve">
default is 3%
leave cell blank/empty unless you intend for uplift. If week to start FY uplift is blank, the % will apply for all weeks.</t>
        </r>
      </text>
    </comment>
    <comment ref="C5" authorId="0" shapeId="0" xr:uid="{074D6E28-929B-4716-98D6-796ED8E8D90F}">
      <text>
        <r>
          <rPr>
            <b/>
            <sz val="9"/>
            <color indexed="81"/>
            <rFont val="Tahoma"/>
            <family val="2"/>
          </rPr>
          <t>Jeffrey Rosen:</t>
        </r>
        <r>
          <rPr>
            <sz val="9"/>
            <color indexed="81"/>
            <rFont val="Tahoma"/>
            <family val="2"/>
          </rPr>
          <t xml:space="preserve">
Just use a number, e.g. 10 to start the uplift applying in week 10 to the end. 
Leave cell blank to not apply uplift.</t>
        </r>
      </text>
    </comment>
    <comment ref="F6" authorId="0" shapeId="0" xr:uid="{56DF9461-A7DB-43B3-8B38-073DDDC359FD}">
      <text>
        <r>
          <rPr>
            <b/>
            <sz val="9"/>
            <color indexed="81"/>
            <rFont val="Tahoma"/>
            <family val="2"/>
          </rPr>
          <t>Jeffrey Rosen:</t>
        </r>
        <r>
          <rPr>
            <sz val="9"/>
            <color indexed="81"/>
            <rFont val="Tahoma"/>
            <family val="2"/>
          </rPr>
          <t xml:space="preserve">
If cell is Red, this indicates insufficient capacity vs estimated capacity</t>
        </r>
      </text>
    </comment>
    <comment ref="B14" authorId="0" shapeId="0" xr:uid="{0505A650-7918-460D-8E95-A626B54EB7F2}">
      <text>
        <r>
          <rPr>
            <sz val="9"/>
            <color indexed="81"/>
            <rFont val="Tahoma"/>
            <family val="2"/>
          </rPr>
          <t>Typical estimate is 2k per person per week * # trips</t>
        </r>
      </text>
    </comment>
    <comment ref="B15" authorId="0" shapeId="0" xr:uid="{5D4F443A-1F1F-4FBE-9975-A3CC05FA3027}">
      <text>
        <r>
          <rPr>
            <sz val="9"/>
            <color indexed="81"/>
            <rFont val="Tahoma"/>
            <family val="2"/>
          </rPr>
          <t>7% Std, 14% High</t>
        </r>
      </text>
    </comment>
    <comment ref="E18" authorId="1" shapeId="0" xr:uid="{AA6CD21F-2A34-44D7-9B5F-FBF36AD72BAC}">
      <text>
        <r>
          <rPr>
            <b/>
            <sz val="9"/>
            <color indexed="81"/>
            <rFont val="Tahoma"/>
            <family val="2"/>
          </rPr>
          <t>WHO:</t>
        </r>
        <r>
          <rPr>
            <sz val="9"/>
            <color indexed="81"/>
            <rFont val="Tahoma"/>
            <family val="2"/>
          </rPr>
          <t xml:space="preserve"> Architect
</t>
        </r>
        <r>
          <rPr>
            <b/>
            <sz val="9"/>
            <color indexed="81"/>
            <rFont val="Tahoma"/>
            <family val="2"/>
          </rPr>
          <t>Description:</t>
        </r>
        <r>
          <rPr>
            <sz val="9"/>
            <color indexed="81"/>
            <rFont val="Tahoma"/>
            <family val="2"/>
          </rPr>
          <t xml:space="preserve"> Purpose of this column is to map roles to physical resources.  For example, you may have the Project Manager and Scrum master with the same role title, use this field to map them to indicate they are the same individual.</t>
        </r>
      </text>
    </comment>
    <comment ref="G18" authorId="1" shapeId="0" xr:uid="{3DBFA0C0-D30B-49B4-859E-15BC742DE6D6}">
      <text>
        <r>
          <rPr>
            <b/>
            <sz val="9"/>
            <color indexed="81"/>
            <rFont val="Tahoma"/>
            <family val="2"/>
          </rPr>
          <t>WHO:</t>
        </r>
        <r>
          <rPr>
            <sz val="9"/>
            <color indexed="81"/>
            <rFont val="Tahoma"/>
            <family val="2"/>
          </rPr>
          <t xml:space="preserve"> Architect
</t>
        </r>
        <r>
          <rPr>
            <b/>
            <sz val="9"/>
            <color indexed="81"/>
            <rFont val="Tahoma"/>
            <family val="2"/>
          </rPr>
          <t>Description:</t>
        </r>
        <r>
          <rPr>
            <sz val="9"/>
            <color indexed="81"/>
            <rFont val="Tahoma"/>
            <family val="2"/>
          </rPr>
          <t xml:space="preserve"> Indicates when we need to identify partner resources to generate a partner allocation caculation.</t>
        </r>
      </text>
    </comment>
    <comment ref="H18" authorId="1" shapeId="0" xr:uid="{67A0BC0A-2B20-4DEF-9C93-D0D746645E26}">
      <text>
        <r>
          <rPr>
            <b/>
            <sz val="9"/>
            <color indexed="81"/>
            <rFont val="Tahoma"/>
            <family val="2"/>
          </rPr>
          <t>WHO:</t>
        </r>
        <r>
          <rPr>
            <sz val="9"/>
            <color indexed="81"/>
            <rFont val="Tahoma"/>
            <family val="2"/>
          </rPr>
          <t xml:space="preserve"> Architect
</t>
        </r>
        <r>
          <rPr>
            <b/>
            <sz val="9"/>
            <color indexed="81"/>
            <rFont val="Tahoma"/>
            <family val="2"/>
          </rPr>
          <t>Description:</t>
        </r>
        <r>
          <rPr>
            <sz val="9"/>
            <color indexed="81"/>
            <rFont val="Tahoma"/>
            <family val="2"/>
          </rPr>
          <t xml:space="preserve"> The purpose of this column is to provide general notes outside the GRM skills, however, leverage the "Resource Skills" worksheet to indicate the specific GRM skills required for the individual.</t>
        </r>
      </text>
    </comment>
    <comment ref="K18" authorId="1" shapeId="0" xr:uid="{7B05D4F9-5D46-49CD-AFF3-007F2B7A4593}">
      <text>
        <r>
          <rPr>
            <b/>
            <sz val="11"/>
            <color theme="1"/>
            <rFont val="Calibri"/>
            <family val="2"/>
            <scheme val="minor"/>
          </rPr>
          <t>WHO:</t>
        </r>
        <r>
          <rPr>
            <sz val="11"/>
            <color theme="1"/>
            <rFont val="Calibri"/>
            <family val="2"/>
            <scheme val="minor"/>
          </rPr>
          <t xml:space="preserve"> Pursuit Lead
</t>
        </r>
        <r>
          <rPr>
            <b/>
            <sz val="11"/>
            <color theme="1"/>
            <rFont val="Calibri"/>
            <family val="2"/>
            <scheme val="minor"/>
          </rPr>
          <t>Description:</t>
        </r>
        <r>
          <rPr>
            <sz val="11"/>
            <color theme="1"/>
            <rFont val="Calibri"/>
            <family val="2"/>
            <scheme val="minor"/>
          </rPr>
          <t xml:space="preserve"> The amount we charge the client per hour of work.  Defaults to List Rate, but if there is a discount, apply the discounted bill rate here and override the default assignment to the List Rate.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Jeffrey Rosen</author>
  </authors>
  <commentList>
    <comment ref="C3" authorId="0" shapeId="0" xr:uid="{B2BDF7A5-0D71-4EA5-A9A4-31C9F94760ED}">
      <text>
        <r>
          <rPr>
            <sz val="9"/>
            <color indexed="81"/>
            <rFont val="Tahoma"/>
            <family val="2"/>
          </rPr>
          <t>The list is searchable - just start typing!</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Jeffrey Rosen</author>
  </authors>
  <commentList>
    <comment ref="F2" authorId="0" shapeId="0" xr:uid="{D54F67DE-E67F-447A-A4A9-E6645D65E6BF}">
      <text>
        <r>
          <rPr>
            <b/>
            <sz val="9"/>
            <color indexed="81"/>
            <rFont val="Tahoma"/>
            <family val="2"/>
          </rPr>
          <t>Jeffrey Rosen:</t>
        </r>
        <r>
          <rPr>
            <sz val="9"/>
            <color indexed="81"/>
            <rFont val="Tahoma"/>
            <family val="2"/>
          </rPr>
          <t xml:space="preserve">
=Default is 10% 
Dev sprints/Build * 10%</t>
        </r>
      </text>
    </comment>
    <comment ref="G2" authorId="0" shapeId="0" xr:uid="{EE44B9B1-5BB9-4749-B3DC-7BEDD765AD72}">
      <text>
        <r>
          <rPr>
            <b/>
            <sz val="9"/>
            <color indexed="81"/>
            <rFont val="Tahoma"/>
            <family val="2"/>
          </rPr>
          <t>Jeffrey Rosen:</t>
        </r>
        <r>
          <rPr>
            <sz val="9"/>
            <color indexed="81"/>
            <rFont val="Tahoma"/>
            <family val="2"/>
          </rPr>
          <t xml:space="preserve">
Default is 60%
=Dev sprints/Build * 60%</t>
        </r>
      </text>
    </comment>
    <comment ref="H2" authorId="0" shapeId="0" xr:uid="{6B118B94-05D1-45C0-BADC-3B07628BCE60}">
      <text>
        <r>
          <rPr>
            <b/>
            <sz val="9"/>
            <color indexed="81"/>
            <rFont val="Tahoma"/>
            <family val="2"/>
          </rPr>
          <t>Jeffrey Rosen:</t>
        </r>
        <r>
          <rPr>
            <sz val="9"/>
            <color indexed="81"/>
            <rFont val="Tahoma"/>
            <family val="2"/>
          </rPr>
          <t xml:space="preserve">
Default is 10%
=Dev sprints/Build * 10%</t>
        </r>
      </text>
    </comment>
    <comment ref="B3" authorId="0" shapeId="0" xr:uid="{78C486C9-614D-4D18-A407-56547B2F247C}">
      <text>
        <r>
          <rPr>
            <b/>
            <sz val="9"/>
            <color indexed="81"/>
            <rFont val="Tahoma"/>
            <family val="2"/>
          </rPr>
          <t>Jeffrey Rosen:</t>
        </r>
        <r>
          <rPr>
            <sz val="9"/>
            <color indexed="81"/>
            <rFont val="Tahoma"/>
            <family val="2"/>
          </rPr>
          <t xml:space="preserve">
Current Categories are:
Development
AI
Infrastructure
Security 
ACSM</t>
        </r>
      </text>
    </comment>
    <comment ref="C3" authorId="0" shapeId="0" xr:uid="{552A682A-B61F-4967-B63D-00BD57AF4AF0}">
      <text>
        <r>
          <rPr>
            <b/>
            <sz val="9"/>
            <color indexed="81"/>
            <rFont val="Tahoma"/>
            <family val="2"/>
          </rPr>
          <t>Jeffrey Rosen:</t>
        </r>
        <r>
          <rPr>
            <sz val="9"/>
            <color indexed="81"/>
            <rFont val="Tahoma"/>
            <family val="2"/>
          </rPr>
          <t xml:space="preserve">
Use description to capture what the item is. 
Examples:
Development -&gt; Custom API
Development -&gt; 2 Logic Apps
Infrastructure -&gt; Setup 1 secure landing zone
AI -&gt; Prompt engineering
AI -&gt; Develop custom model
AI -&gt; Fine tuning model
Security -&gt; Analyze existing DLP rules
ACSM -&gt; Custom persona development</t>
        </r>
      </text>
    </comment>
    <comment ref="D3" authorId="0" shapeId="0" xr:uid="{35F42D35-8E9C-4BCF-9AFB-675F5F34E5EB}">
      <text>
        <r>
          <rPr>
            <b/>
            <sz val="9"/>
            <color indexed="81"/>
            <rFont val="Tahoma"/>
            <family val="2"/>
          </rPr>
          <t>Jeffrey Rosen:
When assigning complexity, use this for guidelines:</t>
        </r>
        <r>
          <rPr>
            <sz val="9"/>
            <color indexed="81"/>
            <rFont val="Tahoma"/>
            <family val="2"/>
          </rPr>
          <t xml:space="preserve">
Low: OOB/low code
Med: Custom/known pattern
High: Fully custom
Note, this setting has no affect on calculations. It is intended to capture and reflect the effort.</t>
        </r>
      </text>
    </comment>
    <comment ref="E3" authorId="0" shapeId="0" xr:uid="{B8325B74-B97E-4FA8-B262-D9E5301C8E0A}">
      <text>
        <r>
          <rPr>
            <b/>
            <sz val="9"/>
            <color indexed="81"/>
            <rFont val="Tahoma"/>
            <family val="2"/>
          </rPr>
          <t>Jeffrey Rosen:</t>
        </r>
        <r>
          <rPr>
            <sz val="9"/>
            <color indexed="81"/>
            <rFont val="Tahoma"/>
            <family val="2"/>
          </rPr>
          <t xml:space="preserve">
Total hours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Jeffrey Rosen</author>
    <author>Sean Leavitt</author>
    <author>tc={66C881D7-2E5D-4082-9735-B0F37B8A4A9E}</author>
    <author>tc={07B917E9-C48C-4698-AD67-B25759CF625E}</author>
  </authors>
  <commentList>
    <comment ref="C4" authorId="0" shapeId="0" xr:uid="{D40AB11F-F525-4EFA-829D-6B82C64A5BBD}">
      <text>
        <r>
          <rPr>
            <b/>
            <sz val="9"/>
            <color indexed="81"/>
            <rFont val="Tahoma"/>
            <family val="2"/>
          </rPr>
          <t>Jeffrey Rosen:</t>
        </r>
        <r>
          <rPr>
            <sz val="9"/>
            <color indexed="81"/>
            <rFont val="Tahoma"/>
            <family val="2"/>
          </rPr>
          <t xml:space="preserve">
default is 3%
leave cell blank/empty unless you intend for uplift. If week to start FY uplift is blank, the % will apply for all weeks.</t>
        </r>
      </text>
    </comment>
    <comment ref="C5" authorId="0" shapeId="0" xr:uid="{D46252D6-0D2F-4FAE-95EC-5063C3586C53}">
      <text>
        <r>
          <rPr>
            <b/>
            <sz val="9"/>
            <color indexed="81"/>
            <rFont val="Tahoma"/>
            <family val="2"/>
          </rPr>
          <t>Jeffrey Rosen:</t>
        </r>
        <r>
          <rPr>
            <sz val="9"/>
            <color indexed="81"/>
            <rFont val="Tahoma"/>
            <family val="2"/>
          </rPr>
          <t xml:space="preserve">
Just use a number, e.g. 10 to start the uplift applying in week 10 to the end. 
Leave cell blank to not apply uplift.</t>
        </r>
      </text>
    </comment>
    <comment ref="F6" authorId="0" shapeId="0" xr:uid="{DD9C17B8-8B3C-4EFB-9134-AE9159C3B9D1}">
      <text>
        <r>
          <rPr>
            <b/>
            <sz val="9"/>
            <color indexed="81"/>
            <rFont val="Tahoma"/>
            <family val="2"/>
          </rPr>
          <t>Jeffrey Rosen:</t>
        </r>
        <r>
          <rPr>
            <sz val="9"/>
            <color indexed="81"/>
            <rFont val="Tahoma"/>
            <family val="2"/>
          </rPr>
          <t xml:space="preserve">
If cell is Red, this indicates insufficient capacity vs estimated capacity</t>
        </r>
      </text>
    </comment>
    <comment ref="B14" authorId="0" shapeId="0" xr:uid="{4A62E1D8-D514-4A95-A5F6-B643291D98CD}">
      <text>
        <r>
          <rPr>
            <sz val="9"/>
            <color indexed="81"/>
            <rFont val="Tahoma"/>
            <family val="2"/>
          </rPr>
          <t>Typical estimate is 2k per person per week * # trips</t>
        </r>
      </text>
    </comment>
    <comment ref="B15" authorId="0" shapeId="0" xr:uid="{7B17B6AD-947C-4CC0-A218-62F228C15487}">
      <text>
        <r>
          <rPr>
            <sz val="9"/>
            <color indexed="81"/>
            <rFont val="Tahoma"/>
            <family val="2"/>
          </rPr>
          <t>7% Std, 14% High</t>
        </r>
      </text>
    </comment>
    <comment ref="E18" authorId="1" shapeId="0" xr:uid="{A85761A4-C3C5-48ED-BAFE-6D78D87D09B8}">
      <text>
        <r>
          <rPr>
            <b/>
            <sz val="9"/>
            <color indexed="81"/>
            <rFont val="Tahoma"/>
            <family val="2"/>
          </rPr>
          <t>WHO:</t>
        </r>
        <r>
          <rPr>
            <sz val="9"/>
            <color indexed="81"/>
            <rFont val="Tahoma"/>
            <family val="2"/>
          </rPr>
          <t xml:space="preserve"> Architect
</t>
        </r>
        <r>
          <rPr>
            <b/>
            <sz val="9"/>
            <color indexed="81"/>
            <rFont val="Tahoma"/>
            <family val="2"/>
          </rPr>
          <t>Description:</t>
        </r>
        <r>
          <rPr>
            <sz val="9"/>
            <color indexed="81"/>
            <rFont val="Tahoma"/>
            <family val="2"/>
          </rPr>
          <t xml:space="preserve"> Purpose of this column is to map roles to physical resources.  For example, you may have the Project Manager and Scrum master with the same role title, use this field to map them to indicate they are the same individual.</t>
        </r>
      </text>
    </comment>
    <comment ref="G18" authorId="1" shapeId="0" xr:uid="{B3ACF6FB-78F4-4B96-A6F8-B02FB73A47EF}">
      <text>
        <r>
          <rPr>
            <b/>
            <sz val="9"/>
            <color indexed="81"/>
            <rFont val="Tahoma"/>
            <family val="2"/>
          </rPr>
          <t>WHO:</t>
        </r>
        <r>
          <rPr>
            <sz val="9"/>
            <color indexed="81"/>
            <rFont val="Tahoma"/>
            <family val="2"/>
          </rPr>
          <t xml:space="preserve"> Architect
</t>
        </r>
        <r>
          <rPr>
            <b/>
            <sz val="9"/>
            <color indexed="81"/>
            <rFont val="Tahoma"/>
            <family val="2"/>
          </rPr>
          <t>Description:</t>
        </r>
        <r>
          <rPr>
            <sz val="9"/>
            <color indexed="81"/>
            <rFont val="Tahoma"/>
            <family val="2"/>
          </rPr>
          <t xml:space="preserve"> Indicates when we need to identify partner resources to generate a partner allocation caculation.</t>
        </r>
      </text>
    </comment>
    <comment ref="H18" authorId="1" shapeId="0" xr:uid="{257BC0C9-E421-456C-9244-9C21F14260DF}">
      <text>
        <r>
          <rPr>
            <b/>
            <sz val="9"/>
            <color indexed="81"/>
            <rFont val="Tahoma"/>
            <family val="2"/>
          </rPr>
          <t>WHO:</t>
        </r>
        <r>
          <rPr>
            <sz val="9"/>
            <color indexed="81"/>
            <rFont val="Tahoma"/>
            <family val="2"/>
          </rPr>
          <t xml:space="preserve"> Architect
</t>
        </r>
        <r>
          <rPr>
            <b/>
            <sz val="9"/>
            <color indexed="81"/>
            <rFont val="Tahoma"/>
            <family val="2"/>
          </rPr>
          <t>Description:</t>
        </r>
        <r>
          <rPr>
            <sz val="9"/>
            <color indexed="81"/>
            <rFont val="Tahoma"/>
            <family val="2"/>
          </rPr>
          <t xml:space="preserve"> The purpose of this column is to provide general notes outside the GRM skills, however, leverage the "Resource Skills" worksheet to indicate the specific GRM skills required for the individual.</t>
        </r>
      </text>
    </comment>
    <comment ref="K18" authorId="1" shapeId="0" xr:uid="{FE298148-0B0F-4F4A-AF34-85586E3A0884}">
      <text>
        <r>
          <rPr>
            <b/>
            <sz val="11"/>
            <color theme="1"/>
            <rFont val="Calibri"/>
            <family val="2"/>
            <scheme val="minor"/>
          </rPr>
          <t>WHO:</t>
        </r>
        <r>
          <rPr>
            <sz val="11"/>
            <color theme="1"/>
            <rFont val="Calibri"/>
            <family val="2"/>
            <scheme val="minor"/>
          </rPr>
          <t xml:space="preserve"> Pursuit Lead
</t>
        </r>
        <r>
          <rPr>
            <b/>
            <sz val="11"/>
            <color theme="1"/>
            <rFont val="Calibri"/>
            <family val="2"/>
            <scheme val="minor"/>
          </rPr>
          <t>Description:</t>
        </r>
        <r>
          <rPr>
            <sz val="11"/>
            <color theme="1"/>
            <rFont val="Calibri"/>
            <family val="2"/>
            <scheme val="minor"/>
          </rPr>
          <t xml:space="preserve"> The amount we charge the client per hour of work.  Defaults to List Rate, but if there is a discount, apply the discounted bill rate here and override the default assignment to the List Rate.</t>
        </r>
      </text>
    </comment>
    <comment ref="R22" authorId="2" shapeId="0" xr:uid="{66C881D7-2E5D-4082-9735-B0F37B8A4A9E}">
      <text>
        <t>[Threaded comment]
Your version of Excel allows you to read this threaded comment; however, any edits to it will get removed if the file is opened in a newer version of Excel. Learn more: https://go.microsoft.com/fwlink/?linkid=870924
Comment:
    Modified from 0</t>
      </text>
    </comment>
    <comment ref="C27" authorId="3" shapeId="0" xr:uid="{07B917E9-C48C-4698-AD67-B25759CF625E}">
      <text>
        <t>[Threaded comment]
Your version of Excel allows you to read this threaded comment; however, any edits to it will get removed if the file is opened in a newer version of Excel. Learn more: https://go.microsoft.com/fwlink/?linkid=870924
Comment:
    Should this row be blank?</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<sst xmlns="http://schemas.openxmlformats.org/spreadsheetml/2006/main" count="2066" uniqueCount="1608">
  <si>
    <t>Customer</t>
  </si>
  <si>
    <t>MSX-ID</t>
  </si>
  <si>
    <t>Date</t>
  </si>
  <si>
    <t>FY Uplift (%)</t>
  </si>
  <si>
    <t>Price to Win</t>
  </si>
  <si>
    <t>Week to start FY uplift</t>
  </si>
  <si>
    <t>Sold Margin</t>
  </si>
  <si>
    <t>Delivery Capacity (hrs)</t>
  </si>
  <si>
    <t>Revenue</t>
  </si>
  <si>
    <t>Margin Variance (26.7%)</t>
  </si>
  <si>
    <t xml:space="preserve">Cost </t>
  </si>
  <si>
    <t>Governance (% of hours)</t>
  </si>
  <si>
    <t>Partner Allocation (% of hours)</t>
  </si>
  <si>
    <t>Risk Reserve</t>
  </si>
  <si>
    <t>Total Hours</t>
  </si>
  <si>
    <t>T&amp;E</t>
  </si>
  <si>
    <t>Suggested BE Range</t>
  </si>
  <si>
    <t>Other Items</t>
  </si>
  <si>
    <t>Additional Calculators</t>
  </si>
  <si>
    <t>Travel and Expenses</t>
  </si>
  <si>
    <r>
      <t>Governance Calculator:</t>
    </r>
    <r>
      <rPr>
        <sz val="10"/>
        <color theme="1"/>
        <rFont val="Segoe UI"/>
        <family val="2"/>
      </rPr>
      <t xml:space="preserve"> Please run and include a screenshot of the results.</t>
    </r>
  </si>
  <si>
    <t>DM Governance Calculator - Power Apps</t>
  </si>
  <si>
    <t>Risk Reserve (%)</t>
  </si>
  <si>
    <t>Delivery Compliance, Privacy and Security (DCPS) Estimator:</t>
  </si>
  <si>
    <t>Compliance Security Estimator</t>
  </si>
  <si>
    <t>Pre-Init</t>
  </si>
  <si>
    <t>Sprint 0</t>
  </si>
  <si>
    <t>Sprint 1</t>
  </si>
  <si>
    <t>Sprint 2</t>
  </si>
  <si>
    <t>Sprint 3</t>
  </si>
  <si>
    <t>Sprint 4</t>
  </si>
  <si>
    <t>Sprint 5</t>
  </si>
  <si>
    <t>Role</t>
  </si>
  <si>
    <t>Role Title</t>
  </si>
  <si>
    <t>Role to 
Resource Mapping</t>
  </si>
  <si>
    <t>Role to Functional Area Mapping</t>
  </si>
  <si>
    <t>Resource Type</t>
  </si>
  <si>
    <t>Resource Notes and Proposed Individual</t>
  </si>
  <si>
    <t>List Rate</t>
  </si>
  <si>
    <t>Bill Rate</t>
  </si>
  <si>
    <t>Cost Rate</t>
  </si>
  <si>
    <t>Delivery Cost</t>
  </si>
  <si>
    <t>Sold Margin %</t>
  </si>
  <si>
    <t>Discount
(Premium)%</t>
  </si>
  <si>
    <t>Total
Allocation %</t>
  </si>
  <si>
    <t>WK0</t>
  </si>
  <si>
    <t>WK1</t>
  </si>
  <si>
    <t>WK2</t>
  </si>
  <si>
    <t>WK3</t>
  </si>
  <si>
    <t>WK4</t>
  </si>
  <si>
    <t>WK5</t>
  </si>
  <si>
    <t>WK6</t>
  </si>
  <si>
    <t>WK7</t>
  </si>
  <si>
    <t>WK8</t>
  </si>
  <si>
    <t>WK9</t>
  </si>
  <si>
    <t>WK10</t>
  </si>
  <si>
    <t>WK11</t>
  </si>
  <si>
    <t>WK12</t>
  </si>
  <si>
    <t>WK13</t>
  </si>
  <si>
    <t>WK14</t>
  </si>
  <si>
    <t>WK15</t>
  </si>
  <si>
    <t>WK16</t>
  </si>
  <si>
    <t>WK17</t>
  </si>
  <si>
    <t>WK18</t>
  </si>
  <si>
    <t>WK19</t>
  </si>
  <si>
    <t>WK20</t>
  </si>
  <si>
    <t>WK21</t>
  </si>
  <si>
    <t>WK22</t>
  </si>
  <si>
    <t>WK23</t>
  </si>
  <si>
    <t>WK24</t>
  </si>
  <si>
    <t>WK25</t>
  </si>
  <si>
    <t>WK26</t>
  </si>
  <si>
    <t>WK27</t>
  </si>
  <si>
    <t>WK28</t>
  </si>
  <si>
    <t>WK29</t>
  </si>
  <si>
    <t>WK30</t>
  </si>
  <si>
    <t>WK31</t>
  </si>
  <si>
    <t>WK32</t>
  </si>
  <si>
    <t>WK33</t>
  </si>
  <si>
    <t>WK34</t>
  </si>
  <si>
    <t>WK35</t>
  </si>
  <si>
    <t>WK36</t>
  </si>
  <si>
    <t>WK37</t>
  </si>
  <si>
    <t>WK38</t>
  </si>
  <si>
    <t>WK39</t>
  </si>
  <si>
    <t>WK40</t>
  </si>
  <si>
    <t>WK41</t>
  </si>
  <si>
    <t>WK42</t>
  </si>
  <si>
    <t>WK43</t>
  </si>
  <si>
    <t>WK44</t>
  </si>
  <si>
    <t>WK45</t>
  </si>
  <si>
    <t>Governance Team</t>
  </si>
  <si>
    <t>DME</t>
  </si>
  <si>
    <t>Delivery Management Executive</t>
  </si>
  <si>
    <t>Delivery Management Executive1</t>
  </si>
  <si>
    <t>Program Architect</t>
  </si>
  <si>
    <t>Program Architect1</t>
  </si>
  <si>
    <t>AI</t>
  </si>
  <si>
    <t>Program Manager</t>
  </si>
  <si>
    <t>Senior Project Manager</t>
  </si>
  <si>
    <t>Senior Project Manager1</t>
  </si>
  <si>
    <t>Scrum Master / Project Manager</t>
  </si>
  <si>
    <t>GD Offshore</t>
  </si>
  <si>
    <t>GD Offshore1</t>
  </si>
  <si>
    <t>TQA</t>
  </si>
  <si>
    <t>GD Offshore2</t>
  </si>
  <si>
    <t>AI Landing Zone / Infra</t>
  </si>
  <si>
    <t>App/ Infra Architect</t>
  </si>
  <si>
    <t>Senior Domain Solution Architect</t>
  </si>
  <si>
    <t>Senior Domain Solution Architect1</t>
  </si>
  <si>
    <t>Azure Infra/Landing Zone</t>
  </si>
  <si>
    <t>Sr. Consultant (Infra)</t>
  </si>
  <si>
    <t>Senior Consultant</t>
  </si>
  <si>
    <t>Senior Consultant1</t>
  </si>
  <si>
    <t>Infrastructure</t>
  </si>
  <si>
    <t>App/ Infra Consultant</t>
  </si>
  <si>
    <t>DevOps Consultant</t>
  </si>
  <si>
    <t>Intune</t>
  </si>
  <si>
    <t>GD Offshore3</t>
  </si>
  <si>
    <t>Security Consultant</t>
  </si>
  <si>
    <t>Senior Consultant2</t>
  </si>
  <si>
    <t>Senior Domain Soultion Architect2</t>
  </si>
  <si>
    <t>Security</t>
  </si>
  <si>
    <t>In Vehicle (Edge) - Agentic Solution -AI SLM, Model Tuning</t>
  </si>
  <si>
    <t>Prin Data Scientist</t>
  </si>
  <si>
    <t>Principal Data Scientist</t>
  </si>
  <si>
    <t>Principal Data Scientist1</t>
  </si>
  <si>
    <t>Language Model training and fine tunning</t>
  </si>
  <si>
    <t>Sr. Data Scientist</t>
  </si>
  <si>
    <t>Data Scientist</t>
  </si>
  <si>
    <t>Data Scientist1</t>
  </si>
  <si>
    <t>Speech To Text Model training and fine tunning</t>
  </si>
  <si>
    <t>Data Scientist2</t>
  </si>
  <si>
    <t>Speech To Speech Model training and fine tunning</t>
  </si>
  <si>
    <t>Data Scientist3</t>
  </si>
  <si>
    <t>Text to Speech Model training and fine tuning</t>
  </si>
  <si>
    <t>Data Scientist4</t>
  </si>
  <si>
    <t>Wakeup word/VAD training and fine tuning</t>
  </si>
  <si>
    <t>Sr. Consultant</t>
  </si>
  <si>
    <t>Development</t>
  </si>
  <si>
    <t>Car Integration, Dev Lead</t>
  </si>
  <si>
    <t>DevOps/MLOps, CI/CD</t>
  </si>
  <si>
    <t>Consultant / Developer</t>
  </si>
  <si>
    <t>GD Offshore4</t>
  </si>
  <si>
    <t>Developer</t>
  </si>
  <si>
    <t>GD Offshore5</t>
  </si>
  <si>
    <t>Tester</t>
  </si>
  <si>
    <t>GD Offshore6</t>
  </si>
  <si>
    <t>GD Offshore7</t>
  </si>
  <si>
    <t xml:space="preserve">RAI </t>
  </si>
  <si>
    <t>Security Architect</t>
  </si>
  <si>
    <t>RAI Review</t>
  </si>
  <si>
    <t>[Other Workstreams….]</t>
  </si>
  <si>
    <t>Secure By Default</t>
  </si>
  <si>
    <t>Architect</t>
  </si>
  <si>
    <t>SBD</t>
  </si>
  <si>
    <t>Assumptions for Cloud Hub Infra Estimates</t>
  </si>
  <si>
    <t>1. Landing Zone  (CAF Enterprise-Scale)</t>
  </si>
  <si>
    <t>Management group hierarchy (Bosch Platform → Landing Zones → per-OEM subscriptions)</t>
  </si>
  <si>
    <t xml:space="preserve">   Subscription vending automation  and the shared Cloud Hub platform sub</t>
  </si>
  <si>
    <t>Azure Policy initiatives: CAF baseline + Bosch-custom + per-OEM regulatory; mandatory tagging enforced</t>
  </si>
  <si>
    <t xml:space="preserve">   Azure Blueprints / Bicep or Terraform module that provisions the entire stack below per subscription</t>
  </si>
  <si>
    <t>2. Networking &amp; Connectivity</t>
  </si>
  <si>
    <t>Hub-spoke topology: hub vNet, Azure Firewall, Azure Bastion</t>
  </si>
  <si>
    <t xml:space="preserve">   Per spoke vNet (/22) with subnet plan for APIM, AI Foundry private endpoints, AI Search, Cosmos DB, Event Hub, MCP Server compute, Key Vault</t>
  </si>
  <si>
    <r>
      <t xml:space="preserve">Private Endpoints  for </t>
    </r>
    <r>
      <rPr>
        <sz val="11"/>
        <color rgb="FF000000"/>
        <rFont val="Aptos"/>
        <family val="2"/>
      </rPr>
      <t>every</t>
    </r>
    <r>
      <rPr>
        <sz val="11"/>
        <color rgb="FF000000"/>
        <rFont val="Aptos"/>
        <family val="2"/>
      </rPr>
      <t> PaaS service (AI Foundry, AI Search, Cosmos, Event Hub, Key Vault, Monitor)</t>
    </r>
  </si>
  <si>
    <t xml:space="preserve">    Azure Front Door </t>
  </si>
  <si>
    <t>3. API Management Gateway (APIM) — Provisioned</t>
  </si>
  <si>
    <t>Azure API Management (Premium, internal/VNet-injected) deployed per OEM subscription</t>
  </si>
  <si>
    <t>Backend pool placeholders for: AI Foundry model endpoints, MCP Servers, Cloud Agents, Other Agents</t>
  </si>
  <si>
    <t>Policies provisioned as templates only: rate limit, JWT validation against Entra, request logging to Event Hub, Application Insights diagnostics</t>
  </si>
  <si>
    <r>
      <t xml:space="preserve">LLM access pattern wired: </t>
    </r>
    <r>
      <rPr>
        <sz val="11"/>
        <color rgb="FF000000"/>
        <rFont val="Aptos"/>
        <family val="2"/>
      </rPr>
      <t>all model calls (Azure OpenAI / Foundry models) routed through APIM</t>
    </r>
    <r>
      <rPr>
        <sz val="11"/>
        <color rgb="FF000000"/>
        <rFont val="Aptos"/>
        <family val="2"/>
      </rPr>
      <t> </t>
    </r>
  </si>
  <si>
    <t>Developer portal published; product/subscription model defined; no live operations imported</t>
  </si>
  <si>
    <t>4. Agent Orchestration &amp; Hosting Platform — Infra Only</t>
  </si>
  <si>
    <t>Azure AI Foundry hub + project provisioned per OEM (private networking, customer-managed keys via Key Vault)</t>
  </si>
  <si>
    <r>
      <t xml:space="preserve">Compute substrate for agent hosting provisioned (AKS cluster </t>
    </r>
    <r>
      <rPr>
        <i/>
        <sz val="11"/>
        <color rgb="FF000000"/>
        <rFont val="Aptos"/>
        <family val="2"/>
      </rPr>
      <t>or</t>
    </r>
    <r>
      <rPr>
        <sz val="11"/>
        <color rgb="FF000000"/>
        <rFont val="Aptos"/>
        <family val="2"/>
      </rPr>
      <t> Azure Container Apps environment + Azure Functions Premium plan — chosen during Sprint 0): node pools, managed identities, ingress controller, namespace-per-agent-class</t>
    </r>
  </si>
  <si>
    <t>Service Bus / Event Grid topics provisioned for inter agent messaging contracts </t>
  </si>
  <si>
    <t>Container registry (ACR Premium with geo-replication, content trust, Defender scanning) provisioned and empty</t>
  </si>
  <si>
    <t>5. MCP Server Hosting Infrastructure — Provisioned</t>
  </si>
  <si>
    <t>Dedicated Container Apps environment (or AKS namespace) for Cloud MCP Servers with mTLS-ready ingress</t>
  </si>
  <si>
    <t>Outbound connectivity through Azure Firewall to Bosch backend systems (allow-listed FQDNs)</t>
  </si>
  <si>
    <t>Managed identity per planned MCP server with RBAC scoped to Key Vault secrets references</t>
  </si>
  <si>
    <t>APIM facade pattern provisioned (route → MCP server backend pool)</t>
  </si>
  <si>
    <t>6. AI Search &amp; Data Plane — Provisioned</t>
  </si>
  <si>
    <r>
      <t xml:space="preserve">Azure AI Search (Standard S2+, private endpoint, semantic ranker SKU) — </t>
    </r>
    <r>
      <rPr>
        <sz val="11"/>
        <color rgb="FF000000"/>
        <rFont val="Aptos"/>
        <family val="2"/>
      </rPr>
      <t>no indexes, no skillsets, no data sources created</t>
    </r>
  </si>
  <si>
    <r>
      <t xml:space="preserve">Azure Cosmos DB (User Context Store) — account, database, and container shells with partition key strategy; </t>
    </r>
    <r>
      <rPr>
        <sz val="11"/>
        <color rgb="FF000000"/>
        <rFont val="Aptos"/>
        <family val="2"/>
      </rPr>
      <t>no data, no documents</t>
    </r>
  </si>
  <si>
    <r>
      <t xml:space="preserve">Azure Event Hub namespace + hubs for telemetry and ingestion — capture to ADLS configured, </t>
    </r>
    <r>
      <rPr>
        <sz val="11"/>
        <color rgb="FF000000"/>
        <rFont val="Aptos"/>
        <family val="2"/>
      </rPr>
      <t>no producers wired</t>
    </r>
  </si>
  <si>
    <t>7. LLM Access Pattern</t>
  </si>
  <si>
    <t>Azure OpenAI / Foundry model deployments provisioned (GPT-4o / o-series / embedding model — exact SKUs per Sprint 0 sizing) </t>
  </si>
  <si>
    <r>
      <t xml:space="preserve">Model endpoints exposed </t>
    </r>
    <r>
      <rPr>
        <sz val="11"/>
        <color rgb="FF000000"/>
        <rFont val="Aptos"/>
        <family val="2"/>
      </rPr>
      <t>only through APIM</t>
    </r>
    <r>
      <rPr>
        <sz val="11"/>
        <color rgb="FF000000"/>
        <rFont val="Aptos"/>
        <family val="2"/>
      </rPr>
      <t> ; APIM products map OEM → allowed model deployments</t>
    </r>
  </si>
  <si>
    <t>Content Safety resource provisioned with default policies</t>
  </si>
  <si>
    <t>8. Observability</t>
  </si>
  <si>
    <t>Azure Monitor + Log Analytics workspace(s) per OEM with retention/archival policy</t>
  </si>
  <si>
    <t>Application Insights resources provisioned per planned agent / MCP service (</t>
  </si>
  <si>
    <r>
      <t xml:space="preserve">Diagnostic settings forced on </t>
    </r>
    <r>
      <rPr>
        <sz val="11"/>
        <color rgb="FF000000"/>
        <rFont val="Aptos"/>
        <family val="2"/>
      </rPr>
      <t>every</t>
    </r>
    <r>
      <rPr>
        <sz val="11"/>
        <color rgb="FF000000"/>
        <rFont val="Aptos"/>
        <family val="2"/>
      </rPr>
      <t> resource above via Azure Policy (</t>
    </r>
    <r>
      <rPr>
        <sz val="10"/>
        <color rgb="FF000000"/>
        <rFont val="Consolas"/>
        <family val="3"/>
      </rPr>
      <t>DeployIfNotExists</t>
    </r>
    <r>
      <rPr>
        <sz val="11"/>
        <color rgb="FF000000"/>
        <rFont val="Aptos"/>
        <family val="2"/>
      </rPr>
      <t>)</t>
    </r>
  </si>
  <si>
    <t>Baseline Workbooks: APIM throughput/latency, Foundry model token usage, AKS/ACA health, Key Vault access — dashboards live, agent-level dashboards stubbed</t>
  </si>
  <si>
    <t>9. DevOps / Platform Engineering</t>
  </si>
  <si>
    <r>
      <t xml:space="preserve">Single IaC repo (Bicep </t>
    </r>
    <r>
      <rPr>
        <i/>
        <sz val="11"/>
        <color rgb="FF000000"/>
        <rFont val="Aptos"/>
        <family val="2"/>
      </rPr>
      <t>or</t>
    </r>
    <r>
      <rPr>
        <sz val="11"/>
        <color rgb="FF000000"/>
        <rFont val="Aptos"/>
        <family val="2"/>
      </rPr>
      <t> Terraform — locked Sprint 0) with module library covering every component above</t>
    </r>
  </si>
  <si>
    <t>GitHub Actions or ADO pipelines: env promotion (dev → test → preprod → prod), policy-as-code gates, security scans (PSRule / tfsec / Checkov), drift detection</t>
  </si>
  <si>
    <t>GitOps-ready: AKS/ACA bootstrapped with Flux or ArgoCD configuration (no workloads synced)</t>
  </si>
  <si>
    <t xml:space="preserve">  ACR Assumptions — </t>
  </si>
  <si>
    <t>A. Vehicle Profile Mix</t>
  </si>
  <si>
    <t>Profile</t>
  </si>
  <si>
    <t>Mix %</t>
  </si>
  <si>
    <t>Premium</t>
  </si>
  <si>
    <t>Mid-Tier</t>
  </si>
  <si>
    <t>Basic</t>
  </si>
  <si>
    <t>Total</t>
  </si>
  <si>
    <t>B. Per-Vehicle Interaction Model</t>
  </si>
  <si>
    <t>Driver</t>
  </si>
  <si>
    <t>Unit</t>
  </si>
  <si>
    <t>Notes</t>
  </si>
  <si>
    <t>Active days per year</t>
  </si>
  <si>
    <t>days</t>
  </si>
  <si>
    <t>Days vehicle is in active use</t>
  </si>
  <si>
    <t>Interactions per day</t>
  </si>
  <si>
    <t>count</t>
  </si>
  <si>
    <t>Total user-AI exchanges per active day</t>
  </si>
  <si>
    <t>Cloud offload rate</t>
  </si>
  <si>
    <t>%</t>
  </si>
  <si>
    <t>Fraction handled by Azure (vs. edge SLM)</t>
  </si>
  <si>
    <t>Cost per cloud chain</t>
  </si>
  <si>
    <t>$</t>
  </si>
  <si>
    <t>Avg orchestrator+agent+RAG chain cost (Azure OpenAI)</t>
  </si>
  <si>
    <t>Telemetry per day</t>
  </si>
  <si>
    <t>MB</t>
  </si>
  <si>
    <t>Edge-filtered upload to Event Hub</t>
  </si>
  <si>
    <t>C. Other Per-Vehicle Annual Costs (USD)</t>
  </si>
  <si>
    <t>Service Category</t>
  </si>
  <si>
    <t>Compute &amp; Orchestration</t>
  </si>
  <si>
    <t>$/yr</t>
  </si>
  <si>
    <t>AKS, APIM, agent microservices, MCP servers (allocated per active vehicle)</t>
  </si>
  <si>
    <t>Content Safety + Foundry</t>
  </si>
  <si>
    <t>Azure AI Search index share, Content Safety calls, Foundry tooling overhead</t>
  </si>
  <si>
    <t>Data &amp; Storage</t>
  </si>
  <si>
    <t>Event Hub ingest, Cosmos DB user context, Fabric/Data Lake retention</t>
  </si>
  <si>
    <t>Entra B2C, WAF, Defender, Key Vault (largely flat per active user)</t>
  </si>
  <si>
    <t>Monitoring</t>
  </si>
  <si>
    <t>Azure Monitor + App Insights</t>
  </si>
  <si>
    <t>Networking &amp; Egress</t>
  </si>
  <si>
    <t>Vehicle ↔ cloud data path</t>
  </si>
  <si>
    <t>D. Stamp Scenarios</t>
  </si>
  <si>
    <t>Stamp Size</t>
  </si>
  <si>
    <t>Vehicles</t>
  </si>
  <si>
    <t>Fixed Cost / yr ($)</t>
  </si>
  <si>
    <t>Small</t>
  </si>
  <si>
    <t>Pilot / new-region launch</t>
  </si>
  <si>
    <t>Medium</t>
  </si>
  <si>
    <t>Regional steady state</t>
  </si>
  <si>
    <t>Large</t>
  </si>
  <si>
    <t>Major OEM/region peak</t>
  </si>
  <si>
    <t>E. Bosch Vehicle Volume Forecast</t>
  </si>
  <si>
    <t>Year</t>
  </si>
  <si>
    <t>Total Vehicles</t>
  </si>
  <si>
    <t>China</t>
  </si>
  <si>
    <t>Germany</t>
  </si>
  <si>
    <t>Japan</t>
  </si>
  <si>
    <t>US</t>
  </si>
  <si>
    <t xml:space="preserve">  Per-Stamp ACR Scenarios (Small / Medium / Large)</t>
  </si>
  <si>
    <t>Stamp</t>
  </si>
  <si>
    <t>Variable ACR ($/yr)</t>
  </si>
  <si>
    <t>Fixed ACR ($/yr)</t>
  </si>
  <si>
    <t>Total ACR ($/yr)</t>
  </si>
  <si>
    <t>$/vehicle</t>
  </si>
  <si>
    <t>Pilot / new region (baseline AKS, APIM, control plane)</t>
  </si>
  <si>
    <t>Major OEM / region peak — best $/vehicle efficiency</t>
  </si>
  <si>
    <t>ACR by Service Category × Stamp Size (Variable Only)</t>
  </si>
  <si>
    <t>Per-Vehicle Wtd Avg ($)</t>
  </si>
  <si>
    <t>% of ACR</t>
  </si>
  <si>
    <t>AI/ML Inference (LLM+RAG+Safety+Foundry)</t>
  </si>
  <si>
    <t>TOTAL Variable</t>
  </si>
  <si>
    <t>Assigned Role</t>
  </si>
  <si>
    <t>Primary Skill</t>
  </si>
  <si>
    <t>Second skill</t>
  </si>
  <si>
    <t>1. Compass One</t>
  </si>
  <si>
    <t>Completed</t>
  </si>
  <si>
    <t>ID</t>
  </si>
  <si>
    <t>Responsible</t>
  </si>
  <si>
    <t>Did you submit a consumption(ACR) plan or mark the exception?</t>
  </si>
  <si>
    <t>Pursuit Lead</t>
  </si>
  <si>
    <t>Are all relevant  C1 warnings cleared?</t>
  </si>
  <si>
    <t>Are the "Contracting Customers” and “Supporting Customers” info populated?</t>
  </si>
  <si>
    <t>Are the “Microsoft Contacts” populated correctly? (eg.  Signatory should be DME, Relationship Manager=DME, unless PM identified, Primary Delivery=DME, unless PM identified)</t>
  </si>
  <si>
    <t>Are the travel expectations in SOW and in ESWO and C1 consistent (i.e. if there is no travel, SOW should say 'all work is remote', if travel, did you include T&amp;E in C1)</t>
  </si>
  <si>
    <t>Architect / Pursuit Lead</t>
  </si>
  <si>
    <t>All of the risk assessments completed accurately and completely?</t>
  </si>
  <si>
    <t>Prior to DRM preview provide links for all documents (to be reviewed) in C1 not as actual attachments; After approval by DRM Preview ensure final documents are posted as static documents</t>
  </si>
  <si>
    <t>Add the reviewers to the C1 record (Add DME on the account if it is different from reviewers)</t>
  </si>
  <si>
    <t>Has ACSM been included where we are delivering solutions with significant change impacts?</t>
  </si>
  <si>
    <t xml:space="preserve">If ACSM has not been included, have we added this as a customer responsibility/out of scope and incrased the risk factor? </t>
  </si>
  <si>
    <t>Contract Title contains customer name and project sort title (Ex: "Toyota: D365 Sales Transformation")</t>
  </si>
  <si>
    <t>Prior to DRM,  all dates in C1 and  executable documents are aligned  (ie. C1 "Planned Duration", C1 Financial Packages dates, SOW and ESWO dates)</t>
  </si>
  <si>
    <t>For deals with ECIF, confirm IO code is entered in C1 and expiration date and amount is valid</t>
  </si>
  <si>
    <t>Is Sold margin &gt;= 23.4%  (FY25 threshold) or required approvals are posted in C1</t>
  </si>
  <si>
    <t>Have you had at least one full review of the SOW?</t>
  </si>
  <si>
    <t>Has the Area technial review or SRM been completed? (email approval for SRM)</t>
  </si>
  <si>
    <t>Attach required OneAsk approval email to C1</t>
  </si>
  <si>
    <t>For CR/Amendments using ECIF, have you posted documentation showing alignment to consumption plan. If CR/amendment does not impact consumption, is the purpose to prevent leakage?</t>
  </si>
  <si>
    <t>All reviews and approvals from other groups completed (e.g. SSL, BizApps, etc.), and are they registered in C1?</t>
  </si>
  <si>
    <t>For deals with ECIF, confirm there is sufficient time to burn ECIF before expiration, allowing for standard staffing timelines (ie. typically 4 weeks)</t>
  </si>
  <si>
    <t>2. Solution</t>
  </si>
  <si>
    <t>SOW / Overall Deal Shaping</t>
  </si>
  <si>
    <t>Does the SOW capture via scope and assumptions what are the top customer Dependencies?</t>
  </si>
  <si>
    <t>2.2</t>
  </si>
  <si>
    <t>Does the introduction  explain what  success look like to the customer</t>
  </si>
  <si>
    <t>2.3</t>
  </si>
  <si>
    <t>Does delivery methodology: LED/Waterfall/other align to customer expectations?</t>
  </si>
  <si>
    <t>2.4</t>
  </si>
  <si>
    <t>For Deliverables requiring acceptance, confirm they make sense? (e.g. in T&amp;M, generally we dont have signed-off deliverables)</t>
  </si>
  <si>
    <t>2.5</t>
  </si>
  <si>
    <t>Do you have a timeline showing the initial planned timeline for the Engagement with the multiple work-streams and not the generic timeline?</t>
  </si>
  <si>
    <t>2.6</t>
  </si>
  <si>
    <t>Have you completed RAI and InfoSec reviews, as required?</t>
  </si>
  <si>
    <t>2.7</t>
  </si>
  <si>
    <t>Did you capture any expected use of OSS (Open Source Software)?</t>
  </si>
  <si>
    <t>Staffing plan / Timeline</t>
  </si>
  <si>
    <t>Did you add pre-initiation time (“Week 0”) for PjM &amp; Architect leads with appropriate prep hours?</t>
  </si>
  <si>
    <t>Did you account for sufficient onboarding requirements and time (i.e. new ISD logo, Customer has significant onboarding requirements into their environment, highly regulated)</t>
  </si>
  <si>
    <t>2.8</t>
  </si>
  <si>
    <t>If “scrum master” role required, did you specify hours separately from PjM in WBS and C1 and SOW?</t>
  </si>
  <si>
    <t>2.9</t>
  </si>
  <si>
    <t>Does the staffing plan show a weekly breakdown?</t>
  </si>
  <si>
    <t>2.10</t>
  </si>
  <si>
    <t>Has the Architect reviewed the skill definitions, and staffing plan (start date and end date, hours/day)?</t>
  </si>
  <si>
    <t>2.11</t>
  </si>
  <si>
    <t>Has the Architect highlighted any scarce skill on the staffing plan?</t>
  </si>
  <si>
    <t>2.12</t>
  </si>
  <si>
    <t>Have you run the governance calculator and included the results in the WBS spreadsheet?</t>
  </si>
  <si>
    <t>2.13</t>
  </si>
  <si>
    <t>If you are below the minimum governance requirements, have you discussed the reasons with the Area CPMM?</t>
  </si>
  <si>
    <t>2.14</t>
  </si>
  <si>
    <t>Did you map SOW LED roles to staffing plan and ensure that the SOW roles map to the WBS and map to C1</t>
  </si>
  <si>
    <t>2.15</t>
  </si>
  <si>
    <t>SbD required / not should be validated with Rick Alba and effort included</t>
  </si>
  <si>
    <t>2.16</t>
  </si>
  <si>
    <t>Staffing plan &amp; C1 should be identical at all times</t>
  </si>
  <si>
    <t>3. ESWO /  Partner</t>
  </si>
  <si>
    <t>Partner</t>
  </si>
  <si>
    <t>If a partner / subcon is required, has c1 been completed?</t>
  </si>
  <si>
    <t>Are they approved and currently active?</t>
  </si>
  <si>
    <t>Did the customer suggest the partner (a conflict of interest form is required)?</t>
  </si>
  <si>
    <t>ESWO</t>
  </si>
  <si>
    <t>Did you mark 'PO Required Y/N' appropriately?</t>
  </si>
  <si>
    <t>If any ECIF, specify and include required expiration language in ESWO</t>
  </si>
  <si>
    <t>Version</t>
  </si>
  <si>
    <t>Updated Staffing Plan resourcing description based on( Sola Osunsan)</t>
  </si>
  <si>
    <t>Training Video:</t>
  </si>
  <si>
    <t>Staffing Plan Tutorial.mp4</t>
  </si>
  <si>
    <t>Updates Checklist with additional items (Becky Wynne)</t>
  </si>
  <si>
    <t>Added BE Range suggestion (Dean Sesko)</t>
  </si>
  <si>
    <t>Fixed cost calculation (John Gilbert)</t>
  </si>
  <si>
    <t>Fixed formatting</t>
  </si>
  <si>
    <t>Added link to "Compliance Privacy Security Estimator v2.4" workbook. (Sean Leavitt)</t>
  </si>
  <si>
    <t>Added beta for basis of estimation (Joe Newell)</t>
  </si>
  <si>
    <t>Added ability to choose custom %'s for WBS estimates</t>
  </si>
  <si>
    <t>Added responsible column to Checklist (Ravi Thoutireddy)</t>
  </si>
  <si>
    <t>updated SBD to DCPS, changed staffing to table - should make adding columns/rows better</t>
  </si>
  <si>
    <t xml:space="preserve">added ability to apply uplift </t>
  </si>
  <si>
    <t>Updated margin for FY26</t>
  </si>
  <si>
    <t>Updated to FY26 Rates</t>
  </si>
  <si>
    <t>Estimate Category</t>
  </si>
  <si>
    <t>Description</t>
  </si>
  <si>
    <t>Complexity</t>
  </si>
  <si>
    <t>Dev Sprints  or Build (hrs)</t>
  </si>
  <si>
    <t>Baseline Planning  or Envisioning</t>
  </si>
  <si>
    <t>Testing</t>
  </si>
  <si>
    <t>Deploy</t>
  </si>
  <si>
    <t>Category</t>
  </si>
  <si>
    <t>Estimated Capacity Needed</t>
  </si>
  <si>
    <t>TOTAL</t>
  </si>
  <si>
    <t>Percentage</t>
  </si>
  <si>
    <t>Sprint 6</t>
  </si>
  <si>
    <t>Sprint 7</t>
  </si>
  <si>
    <t>Sprint 8</t>
  </si>
  <si>
    <t>Sprint 9</t>
  </si>
  <si>
    <t>Sprint 10</t>
  </si>
  <si>
    <t>Sprint 11</t>
  </si>
  <si>
    <t>Sprint 12</t>
  </si>
  <si>
    <t>Project Manager</t>
  </si>
  <si>
    <t>GDC</t>
  </si>
  <si>
    <t>Prin Data Scientist - Charlie Gu</t>
  </si>
  <si>
    <t>Singapore</t>
  </si>
  <si>
    <t>Sr. Data Scientist Zachary Hou</t>
  </si>
  <si>
    <t>Indian</t>
  </si>
  <si>
    <t>Sr. Data Scientist Yoi Xiang</t>
  </si>
  <si>
    <t>ANZ</t>
  </si>
  <si>
    <t>Sr. Data Scientist Murumalla Krishnakant Achary</t>
  </si>
  <si>
    <t>Sr. Consultant Yifeng Li</t>
  </si>
  <si>
    <t>Device Integration, Testing Framework</t>
  </si>
  <si>
    <t>Training Data</t>
  </si>
  <si>
    <t>GD Offshore8</t>
  </si>
  <si>
    <t>GD Offshore9</t>
  </si>
  <si>
    <t>GD Offshore10</t>
  </si>
  <si>
    <t>GD Offshore11</t>
  </si>
  <si>
    <t>Intune - SECURITY</t>
  </si>
  <si>
    <t>Sr. Consultant (Intune)</t>
  </si>
  <si>
    <t>Azure/Intune</t>
  </si>
  <si>
    <t>Identity/AI</t>
  </si>
  <si>
    <t>Security consultant</t>
  </si>
  <si>
    <t>DCPS</t>
  </si>
  <si>
    <t>DSA</t>
  </si>
  <si>
    <t>Domain Solution Architect</t>
  </si>
  <si>
    <t>GD offshore cons</t>
  </si>
  <si>
    <t xml:space="preserve">  2027–2032 Deployment Ramp (Bosch Volume Forecast)</t>
  </si>
  <si>
    <t>Wtd Avg ACR/Vehicle</t>
  </si>
  <si>
    <t>Total ACR ($)</t>
  </si>
  <si>
    <t>China ACR</t>
  </si>
  <si>
    <t>Germany ACR</t>
  </si>
  <si>
    <t>Japan ACR</t>
  </si>
  <si>
    <t>US ACR</t>
  </si>
  <si>
    <t>6-yr Cumulative</t>
  </si>
  <si>
    <t>.NET API</t>
  </si>
  <si>
    <t>.NET Framework</t>
  </si>
  <si>
    <t>3D Modeling and Animation</t>
  </si>
  <si>
    <t>3-Horizon Roadmap Development</t>
  </si>
  <si>
    <t>3rd-party platform security and cybersecurity solutions</t>
  </si>
  <si>
    <t>Access Control</t>
  </si>
  <si>
    <t>Access Package Definition and Configuration</t>
  </si>
  <si>
    <t>Accessibility</t>
  </si>
  <si>
    <t>Active Directory Federation Services (ADFS)</t>
  </si>
  <si>
    <t>Adaptive Grammar Engine (AGE/NADM)</t>
  </si>
  <si>
    <t>Adoption Change Management (ACM)</t>
  </si>
  <si>
    <t>Advanced Machine Learning Techniques</t>
  </si>
  <si>
    <t>Advanced Threat Analytics (ATA)</t>
  </si>
  <si>
    <t>Agent Coach</t>
  </si>
  <si>
    <t>Agile</t>
  </si>
  <si>
    <t>AI Operationalization and Governance</t>
  </si>
  <si>
    <t>AI Solutions Development and Testing</t>
  </si>
  <si>
    <t>AI test planning and execution</t>
  </si>
  <si>
    <t>AJAX</t>
  </si>
  <si>
    <t>Algorithmic Thinking</t>
  </si>
  <si>
    <t>Android</t>
  </si>
  <si>
    <t>Angular</t>
  </si>
  <si>
    <t>Apache Axis</t>
  </si>
  <si>
    <t>Apache Cassandra</t>
  </si>
  <si>
    <t>Apache CXF</t>
  </si>
  <si>
    <t>Apache Spark</t>
  </si>
  <si>
    <t>Apache Tomcat</t>
  </si>
  <si>
    <t>Apple iOS</t>
  </si>
  <si>
    <t>Application Gateway</t>
  </si>
  <si>
    <t>Application Packaging</t>
  </si>
  <si>
    <t>Application Performance Assessment</t>
  </si>
  <si>
    <t>Application Security</t>
  </si>
  <si>
    <t>ArgoCD</t>
  </si>
  <si>
    <t>Artifactory (JFrog)</t>
  </si>
  <si>
    <t>Aspect CSS</t>
  </si>
  <si>
    <t>Aspect CSS CTI</t>
  </si>
  <si>
    <t>Assessment Services</t>
  </si>
  <si>
    <t>Asterisk</t>
  </si>
  <si>
    <t>ATOaaS</t>
  </si>
  <si>
    <t>Audio processing/editing/directing</t>
  </si>
  <si>
    <t>Augmented Reality (AR) Development</t>
  </si>
  <si>
    <t>Authentication</t>
  </si>
  <si>
    <t>Automated Build Pipeline Configuration</t>
  </si>
  <si>
    <t>Automated Release Pipeline Configuration</t>
  </si>
  <si>
    <t>Automation and Orchestration</t>
  </si>
  <si>
    <t>Automation testing</t>
  </si>
  <si>
    <t>Automation Testing using EasyRepro framework, Selenium and C#</t>
  </si>
  <si>
    <t>Avaya AES (CTI)</t>
  </si>
  <si>
    <t>Avaya Aura Communication Manager</t>
  </si>
  <si>
    <t>Avaya Dialog Designer</t>
  </si>
  <si>
    <t>Avaya IC (CTI)</t>
  </si>
  <si>
    <t>Avaya Interactive Response (IR)</t>
  </si>
  <si>
    <t>Avaya Orchestration Designer (AODD)</t>
  </si>
  <si>
    <t>Avaya Voice Portal (AVP)</t>
  </si>
  <si>
    <t>Azure - Govern and Manage</t>
  </si>
  <si>
    <t>Azure Active Directory B2C</t>
  </si>
  <si>
    <t>Azure AD Application Proxy</t>
  </si>
  <si>
    <t>Azure Advance Networking (AAN)</t>
  </si>
  <si>
    <t>Azure AI Studio</t>
  </si>
  <si>
    <t>Azure Analysis Services</t>
  </si>
  <si>
    <t>Azure API Management</t>
  </si>
  <si>
    <t>Azure App Service</t>
  </si>
  <si>
    <t>Azure Application Infrastructure</t>
  </si>
  <si>
    <t>Azure Application Insights</t>
  </si>
  <si>
    <t>Azure Applied AI Services</t>
  </si>
  <si>
    <t>Azure Arc</t>
  </si>
  <si>
    <t>Azure Arc-enabled Data Services</t>
  </si>
  <si>
    <t>Azure Backup</t>
  </si>
  <si>
    <t>Azure Bastion</t>
  </si>
  <si>
    <t>Azure Bicep</t>
  </si>
  <si>
    <t>Azure Bot Services</t>
  </si>
  <si>
    <t>Azure Cloud Services</t>
  </si>
  <si>
    <t>Azure Cognitive Search</t>
  </si>
  <si>
    <t>Azure Cognitive Services</t>
  </si>
  <si>
    <t>Azure Communication Services​</t>
  </si>
  <si>
    <t>Azure Components</t>
  </si>
  <si>
    <t>Azure Container Apps</t>
  </si>
  <si>
    <t>Azure Cosmos DB</t>
  </si>
  <si>
    <t>Azure Cost Management</t>
  </si>
  <si>
    <t>Azure Data Catalog</t>
  </si>
  <si>
    <t>Azure Data Explorer</t>
  </si>
  <si>
    <t>Azure Data Factory</t>
  </si>
  <si>
    <t>Azure Data Lake</t>
  </si>
  <si>
    <t>Azure Data Lake Analytics</t>
  </si>
  <si>
    <t>Azure Data Lake Storage</t>
  </si>
  <si>
    <t>Azure Database for MySQL</t>
  </si>
  <si>
    <t>Azure Database for PostgreSQL</t>
  </si>
  <si>
    <t>Azure Database Migration Service</t>
  </si>
  <si>
    <t>Azure Databricks</t>
  </si>
  <si>
    <t>Azure DDoS Protection</t>
  </si>
  <si>
    <t>Azure DevOps (ADO)</t>
  </si>
  <si>
    <t>Azure DevOps Solutions for Cloud Infrastructure</t>
  </si>
  <si>
    <t>Azure Digital Twins</t>
  </si>
  <si>
    <t>Azure DNS</t>
  </si>
  <si>
    <t>Azure Eventhub</t>
  </si>
  <si>
    <t>Azure ExpressRoute</t>
  </si>
  <si>
    <t>Azure Firewall</t>
  </si>
  <si>
    <t>Azure Functions</t>
  </si>
  <si>
    <t>Azure Governance and Management</t>
  </si>
  <si>
    <t>Azure Health Bot</t>
  </si>
  <si>
    <t>Azure IaaS</t>
  </si>
  <si>
    <t>Azure Infrastructure</t>
  </si>
  <si>
    <t>Azure Infrastructure Management</t>
  </si>
  <si>
    <t>Azure IoT</t>
  </si>
  <si>
    <t>Azure IoT Central</t>
  </si>
  <si>
    <t>Azure IoT Edge</t>
  </si>
  <si>
    <t>Azure IoT Hub</t>
  </si>
  <si>
    <t>Azure Key Vault</t>
  </si>
  <si>
    <t>Azure Kubernetes Service (AKS)</t>
  </si>
  <si>
    <t>Azure Landing Zone</t>
  </si>
  <si>
    <t>Azure Log Analytics</t>
  </si>
  <si>
    <t>Azure Logic Apps</t>
  </si>
  <si>
    <t>Azure Machine Learning</t>
  </si>
  <si>
    <t>Azure Migrate</t>
  </si>
  <si>
    <t>Azure Monitor</t>
  </si>
  <si>
    <t>Azure Monitoring and Analytics</t>
  </si>
  <si>
    <t>Azure Network Security</t>
  </si>
  <si>
    <t>Azure Networking</t>
  </si>
  <si>
    <t>Azure OpenAI</t>
  </si>
  <si>
    <t>Azure OpenAI - Govern and Manage</t>
  </si>
  <si>
    <t>Azure Performance and Scalability​</t>
  </si>
  <si>
    <t>Azure Portal Management</t>
  </si>
  <si>
    <t>Azure Quantum Elements platform</t>
  </si>
  <si>
    <t>Azure Queue Storage</t>
  </si>
  <si>
    <t>Azure Resource Manager (ARM)</t>
  </si>
  <si>
    <t>Azure Security</t>
  </si>
  <si>
    <t>Azure Security Benchmark</t>
  </si>
  <si>
    <t>Azure Services</t>
  </si>
  <si>
    <t>Azure Site Recovery</t>
  </si>
  <si>
    <t>Azure Spring Apps</t>
  </si>
  <si>
    <t>Azure SQL Database</t>
  </si>
  <si>
    <t>Azure SQL Managed Instance</t>
  </si>
  <si>
    <t>Azure Stack</t>
  </si>
  <si>
    <t>Azure Stack HCI</t>
  </si>
  <si>
    <t>Azure Storage</t>
  </si>
  <si>
    <t>Azure Storage Accounts</t>
  </si>
  <si>
    <t>Azure Stream Analytics</t>
  </si>
  <si>
    <t>Azure Synapse</t>
  </si>
  <si>
    <t>Azure Table Storage</t>
  </si>
  <si>
    <t>Azure Threat Protection</t>
  </si>
  <si>
    <t>Azure Virtual Desktop (AVD)</t>
  </si>
  <si>
    <t>Azure Virtual Machines</t>
  </si>
  <si>
    <t>Azure VMware Solution</t>
  </si>
  <si>
    <t>Azure Web App Firewall</t>
  </si>
  <si>
    <t>Azure Workbooks</t>
  </si>
  <si>
    <t>Barge in Modes</t>
  </si>
  <si>
    <t>Batch File Migrations</t>
  </si>
  <si>
    <t>BeVocal Configuration Services (BCS)</t>
  </si>
  <si>
    <t>Bitlocker Design and Implementation</t>
  </si>
  <si>
    <t>BizTalk Server</t>
  </si>
  <si>
    <t>Blockchain Architecture and Development</t>
  </si>
  <si>
    <t>Blue Prism</t>
  </si>
  <si>
    <t>Bookings</t>
  </si>
  <si>
    <t>BR 3.0 (NDEP Business Rules)</t>
  </si>
  <si>
    <t>Brew/BrewMP</t>
  </si>
  <si>
    <t>Business Analytics</t>
  </si>
  <si>
    <t>Business Case Development</t>
  </si>
  <si>
    <t>Business Continuity</t>
  </si>
  <si>
    <t>Business Decision Making</t>
  </si>
  <si>
    <t>Business escalations</t>
  </si>
  <si>
    <t>Business Objects</t>
  </si>
  <si>
    <t>Business presentations</t>
  </si>
  <si>
    <t>Business Strategy</t>
  </si>
  <si>
    <t>Business Value Assessment</t>
  </si>
  <si>
    <t>Business writing</t>
  </si>
  <si>
    <t>C#</t>
  </si>
  <si>
    <t>C++</t>
  </si>
  <si>
    <t>Call Steering Tuning</t>
  </si>
  <si>
    <t>Canvas Apps</t>
  </si>
  <si>
    <t>Capability and Journey Mapping​</t>
  </si>
  <si>
    <t>CAST Highlight</t>
  </si>
  <si>
    <t>Certificate Services</t>
  </si>
  <si>
    <t>Change Management</t>
  </si>
  <si>
    <t>Cisco Call Studio</t>
  </si>
  <si>
    <t>Cisco CTI</t>
  </si>
  <si>
    <t>Cisco CVP</t>
  </si>
  <si>
    <t>Cisco ICM Scripting</t>
  </si>
  <si>
    <t>Cisco UCCE</t>
  </si>
  <si>
    <t>Cisco UCCX</t>
  </si>
  <si>
    <t>Citrix</t>
  </si>
  <si>
    <t>Clickstream Data Analysis</t>
  </si>
  <si>
    <t>Client / Customer QBR Support</t>
  </si>
  <si>
    <t>Cloud Adoption Framework (CAF)</t>
  </si>
  <si>
    <t>Cloud Applications</t>
  </si>
  <si>
    <t>Cloud Database Architecture</t>
  </si>
  <si>
    <t>Cloud Endpoint</t>
  </si>
  <si>
    <t>Cloud Identity Services</t>
  </si>
  <si>
    <t>Cloud Identity Services B2B</t>
  </si>
  <si>
    <t>Cloud Identity Services B2C</t>
  </si>
  <si>
    <t>Cloud Infrastructure</t>
  </si>
  <si>
    <t>Cloud Infrastructure &amp; Management</t>
  </si>
  <si>
    <t>Cloud Management Gateway (CMG)</t>
  </si>
  <si>
    <t>Cloud Monitoring for Azure Planning and Enablement</t>
  </si>
  <si>
    <t>Cloud Monitoring for M365 Planning and Enablement</t>
  </si>
  <si>
    <t>Cloud Workload Protection​</t>
  </si>
  <si>
    <t>Clustering</t>
  </si>
  <si>
    <t>Coaching</t>
  </si>
  <si>
    <t>Cognos</t>
  </si>
  <si>
    <t>Combined Engineering</t>
  </si>
  <si>
    <t>Commercial Licensing</t>
  </si>
  <si>
    <t>Common Data Model (CDM)</t>
  </si>
  <si>
    <t>Competitor Analysis</t>
  </si>
  <si>
    <t>Complex Multi-Domain Project Management</t>
  </si>
  <si>
    <t>Compliance Management Product/ Solution​</t>
  </si>
  <si>
    <t>Compliance testing</t>
  </si>
  <si>
    <t>Compromise Recovery</t>
  </si>
  <si>
    <t>Compute</t>
  </si>
  <si>
    <t>Computer Vision</t>
  </si>
  <si>
    <t>Conditional Access and Multi-Factor Authentication (MFA)</t>
  </si>
  <si>
    <t>Conduct a Comprehensive Security Project Review</t>
  </si>
  <si>
    <t>Configuration</t>
  </si>
  <si>
    <t>Confluence</t>
  </si>
  <si>
    <t>Connected Vehicle API Management</t>
  </si>
  <si>
    <t>Connected Vehicle Data Management</t>
  </si>
  <si>
    <t>Connected Vehicle Dynamics 365</t>
  </si>
  <si>
    <t>Connectors</t>
  </si>
  <si>
    <t>Console Application</t>
  </si>
  <si>
    <t>Containerization and Orchestration</t>
  </si>
  <si>
    <t>Continuous Collaboration</t>
  </si>
  <si>
    <t>Continuous Improvement &amp; Quality</t>
  </si>
  <si>
    <t>Continuous Integration/Continuous Delivery (CI/CD)</t>
  </si>
  <si>
    <t>Continuous Integration/Continuous Deployment</t>
  </si>
  <si>
    <t>Continuous Operations and Monitoring</t>
  </si>
  <si>
    <t>Continuous Planning</t>
  </si>
  <si>
    <t>Continuous Security</t>
  </si>
  <si>
    <t>Continuous Strategy and Product Planning</t>
  </si>
  <si>
    <t>Conversational AI</t>
  </si>
  <si>
    <t>Conversational AI system log processing</t>
  </si>
  <si>
    <t>Copilot GPT Builder</t>
  </si>
  <si>
    <t>Copilot Studio</t>
  </si>
  <si>
    <t>Core Mobile Dictation (CMD)</t>
  </si>
  <si>
    <t>Cortana Integrated Solutions</t>
  </si>
  <si>
    <t>Cost Management Planning and Enablement</t>
  </si>
  <si>
    <t>CPR (prompt library)</t>
  </si>
  <si>
    <t>CRM Configuration</t>
  </si>
  <si>
    <t>CRM Consulting Experience</t>
  </si>
  <si>
    <t>CRM Data Architecture</t>
  </si>
  <si>
    <t>CRM Developer Core Skill</t>
  </si>
  <si>
    <t>CRM Enterprise Aplication Services (EAS)</t>
  </si>
  <si>
    <t>CRM Functional Consulting</t>
  </si>
  <si>
    <t>CRM Infrastructure Planning</t>
  </si>
  <si>
    <t>CRM Integrations</t>
  </si>
  <si>
    <t>CRM Power Suite</t>
  </si>
  <si>
    <t>CRM Project Reviews &amp; Assessments</t>
  </si>
  <si>
    <t>CRM Security and Compliance</t>
  </si>
  <si>
    <t>CRM Technical Consulting</t>
  </si>
  <si>
    <t>Cross-Cloud Governance</t>
  </si>
  <si>
    <t>Cross-Cloud Management and Support</t>
  </si>
  <si>
    <t>Cross-Cloud Operating Model</t>
  </si>
  <si>
    <t>Cross-Functional Collaboration</t>
  </si>
  <si>
    <t>Cryptography</t>
  </si>
  <si>
    <t>CSS</t>
  </si>
  <si>
    <t>Culture and Cloud Service Model</t>
  </si>
  <si>
    <t>Culture Change for AI &amp; Copilot</t>
  </si>
  <si>
    <t>Custom Code Container</t>
  </si>
  <si>
    <t>Customer and Community Engagement</t>
  </si>
  <si>
    <t>Customer Capability</t>
  </si>
  <si>
    <t>Customer collaboration</t>
  </si>
  <si>
    <t>Customer Data Platform - Customer Insights</t>
  </si>
  <si>
    <t>Customer Data Platform - Customer Voice</t>
  </si>
  <si>
    <t>Customer Experience Assessment &amp; Optimization</t>
  </si>
  <si>
    <t>Customer-First / Opportunity Analysis</t>
  </si>
  <si>
    <t>Cybersecurity Architecture</t>
  </si>
  <si>
    <t>Cybersecurity Strategy, Policies and Governance</t>
  </si>
  <si>
    <t>DALL-E</t>
  </si>
  <si>
    <t>Data Analysis and Exploration</t>
  </si>
  <si>
    <t>Data and analytics</t>
  </si>
  <si>
    <t>Data Collectors</t>
  </si>
  <si>
    <t>Data Engineering</t>
  </si>
  <si>
    <t>Data entities</t>
  </si>
  <si>
    <t>Data governance</t>
  </si>
  <si>
    <t>Data Governance and Operations</t>
  </si>
  <si>
    <t>Data Landing Zone</t>
  </si>
  <si>
    <t>Data Management and Integrity for Exchange Server Implementations and Migration</t>
  </si>
  <si>
    <t>Data Mining</t>
  </si>
  <si>
    <t>Data Model Evaluation</t>
  </si>
  <si>
    <t>Data Modeling</t>
  </si>
  <si>
    <t>Data operations</t>
  </si>
  <si>
    <t>Data Platform Architecture and Analysis</t>
  </si>
  <si>
    <t>Data Preparation and Understanding</t>
  </si>
  <si>
    <t>Data Science</t>
  </si>
  <si>
    <t>Data Science Deployment Technologies</t>
  </si>
  <si>
    <t>Data Science Frameworks</t>
  </si>
  <si>
    <t>Data Science Toolkit implementation</t>
  </si>
  <si>
    <t>Data Warehouse</t>
  </si>
  <si>
    <t>Dataverse</t>
  </si>
  <si>
    <t>DB2</t>
  </si>
  <si>
    <t>Deal Crafting / Proposal</t>
  </si>
  <si>
    <t>Deal Orchestration</t>
  </si>
  <si>
    <t>Debugging Tools</t>
  </si>
  <si>
    <t>Deep Learning</t>
  </si>
  <si>
    <t>Deliver Presentations</t>
  </si>
  <si>
    <t>Deliver Projects using Secure DevOps Kit</t>
  </si>
  <si>
    <t>Delivery Advisory</t>
  </si>
  <si>
    <t>Delivery compliance</t>
  </si>
  <si>
    <t>Delivery Excellence</t>
  </si>
  <si>
    <t>Delivery Governance</t>
  </si>
  <si>
    <t>Delivery Leadership</t>
  </si>
  <si>
    <t>Delivery Orchestration</t>
  </si>
  <si>
    <t>Delivery Oversight</t>
  </si>
  <si>
    <t>Demand Generation</t>
  </si>
  <si>
    <t>Demilitarized Zone (DMZ)</t>
  </si>
  <si>
    <t>Deployment</t>
  </si>
  <si>
    <t>Design Access Management</t>
  </si>
  <si>
    <t>Design Fiction</t>
  </si>
  <si>
    <t>Design Identity Management</t>
  </si>
  <si>
    <t>Design of Experiments</t>
  </si>
  <si>
    <t>Design Solution</t>
  </si>
  <si>
    <t>Design Thinking</t>
  </si>
  <si>
    <t>Develop High-level Digital Transformation Roadmap​</t>
  </si>
  <si>
    <t>Develop New Business Models​</t>
  </si>
  <si>
    <t>Develop Solution Options to Achieve Business Transformation​</t>
  </si>
  <si>
    <t>Developer Services</t>
  </si>
  <si>
    <t>Developer Tools</t>
  </si>
  <si>
    <t>Development on Secure Infrastructure</t>
  </si>
  <si>
    <t>DevOps Experience / Mindset</t>
  </si>
  <si>
    <t>DevOps tool integrations</t>
  </si>
  <si>
    <t>Dialed Number Manager (DNM)</t>
  </si>
  <si>
    <t>Dialogic APIs</t>
  </si>
  <si>
    <t>Difficult conversations</t>
  </si>
  <si>
    <t>Digital Culture Change</t>
  </si>
  <si>
    <t>Digital Optimization</t>
  </si>
  <si>
    <t>Digital Storytelling</t>
  </si>
  <si>
    <t>Digital Twins Design and Development</t>
  </si>
  <si>
    <t>Digital Twins Model and Graph</t>
  </si>
  <si>
    <t>Digital Voice and Video (DVV)</t>
  </si>
  <si>
    <t>Directed Dialogue Tuning</t>
  </si>
  <si>
    <t>DirectX</t>
  </si>
  <si>
    <t>Distributed File System (DFS)</t>
  </si>
  <si>
    <t>Distributed Systems and Networking</t>
  </si>
  <si>
    <t>Distributed Systems and Networking for Blockchain</t>
  </si>
  <si>
    <t>Docker</t>
  </si>
  <si>
    <t>Docker Compose</t>
  </si>
  <si>
    <t>Dragon Mobile SDK</t>
  </si>
  <si>
    <t>Dynamics 365 Commerce: Business to Business (B2B) Implementation</t>
  </si>
  <si>
    <t>Dynamics 365 Commerce: Connected Spaces Implementation</t>
  </si>
  <si>
    <t>Dynamics 365 Commerce: Fraud Protection Implementation</t>
  </si>
  <si>
    <t>Dynamics 365 Commerce: Point of Sale (POS) Implementation</t>
  </si>
  <si>
    <t>Dynamics 365 Commerce: Retail Store Operations Implementation</t>
  </si>
  <si>
    <t>Dynamics 365 Customer Data Platform: Customer Insights Implementation</t>
  </si>
  <si>
    <t>Dynamics 365 Customer Data Platform: Customer Voice Implementation</t>
  </si>
  <si>
    <t>Dynamics 365 Customer Engagement (CE)</t>
  </si>
  <si>
    <t>Dynamics 365 Customer Service</t>
  </si>
  <si>
    <t>Dynamics 365 Customization and Configuration</t>
  </si>
  <si>
    <t>Dynamics 365 Finance</t>
  </si>
  <si>
    <t>Dynamics 365 Finance and Operations (F&amp;O)</t>
  </si>
  <si>
    <t>Dynamics 365 Finance: Accounts Payable Module Implementation</t>
  </si>
  <si>
    <t>Dynamics 365 Finance: Accounts Receivable Module Implementation</t>
  </si>
  <si>
    <t>Dynamics 365 Finance: Budgeting Module Implementation</t>
  </si>
  <si>
    <t>Dynamics 365 Finance: Cash and Bank Management Module Implementation</t>
  </si>
  <si>
    <t>Dynamics 365 Finance: Consolidations</t>
  </si>
  <si>
    <t>Dynamics 365 Finance: Consolidations Implementation</t>
  </si>
  <si>
    <t>Dynamics 365 Finance: Cost Management (Accounting) Module Implementation</t>
  </si>
  <si>
    <t>Dynamics 365 Finance: Credit &amp; Collections Module Implementation</t>
  </si>
  <si>
    <t>Dynamics 365 Finance: Currency Module Implementation</t>
  </si>
  <si>
    <t>Dynamics 365 Finance: Enterprise Asset Management (EAM) Module Implementation</t>
  </si>
  <si>
    <t>Dynamics 365 Finance: Expense Management Module Implementation</t>
  </si>
  <si>
    <t>Dynamics 365 Finance: Fixed Assets Module Implementation</t>
  </si>
  <si>
    <t>Dynamics 365 Finance: General Ledger Module Implementation</t>
  </si>
  <si>
    <t>Dynamics 365 Finance: Intercompany Module Implementation</t>
  </si>
  <si>
    <t>Dynamics 365 Finance: Landed Cost Module Implementation</t>
  </si>
  <si>
    <t>Dynamics 365 Finance: Project Management &amp; Accounting Module Implementation</t>
  </si>
  <si>
    <t>Dynamics 365 Finance: Project Operations</t>
  </si>
  <si>
    <t>Dynamics 365 Finance: Public Sector Implementation</t>
  </si>
  <si>
    <t>Dynamics 365 Finance: Rebate Management Module Implementation</t>
  </si>
  <si>
    <t>Dynamics 365 Finance: Tax Module Implementation</t>
  </si>
  <si>
    <t>Dynamics 365 Human Resources (HR) Implementation</t>
  </si>
  <si>
    <t>Dynamics 365 Marketing</t>
  </si>
  <si>
    <t>Dynamics 365 Marketing: Adobe Marketing Cloud Implementation</t>
  </si>
  <si>
    <t>Dynamics 365 Marketing: Marketing Insights Implementation</t>
  </si>
  <si>
    <t>Dynamics 365 Plugins</t>
  </si>
  <si>
    <t>Dynamics 365 Power Platform</t>
  </si>
  <si>
    <t>Dynamics 365 Sales</t>
  </si>
  <si>
    <t>Dynamics 365 Sales Implementation</t>
  </si>
  <si>
    <t>Dynamics 365 Sales: Demand Forecasting Implementation</t>
  </si>
  <si>
    <t>Dynamics 365 Sales: Microsoft Relationship Sales Implementation</t>
  </si>
  <si>
    <t>Dynamics 365 Sales: Sales Insights Implementation</t>
  </si>
  <si>
    <t>Dynamics 365 Sales: Sales Order Forecasting Module Implementation</t>
  </si>
  <si>
    <t>Dynamics 365 Service: Connected Field Service (IoT) Implementation</t>
  </si>
  <si>
    <t>Dynamics 365 Service: Customer Service Insights Implementation</t>
  </si>
  <si>
    <t>Dynamics 365 Service: Customer Service Module Implementation</t>
  </si>
  <si>
    <t>Dynamics 365 Service: Field Service Mobile Module Implementation</t>
  </si>
  <si>
    <t>Dynamics 365 Service: Field Service Module Implementation</t>
  </si>
  <si>
    <t>Dynamics 365 Service: Omni-channel Implementation</t>
  </si>
  <si>
    <t>Dynamics 365 Service: Project Operations Implementation</t>
  </si>
  <si>
    <t>Dynamics 365 Service: Remote Assist Module Implementation</t>
  </si>
  <si>
    <t>Dynamics 365 Service: Service Agreements Module Implementation</t>
  </si>
  <si>
    <t>Dynamics 365 Service: Unified Service Desk Module Implementation</t>
  </si>
  <si>
    <t>Dynamics 365 Service: Virtual Agent for Customer Service Module Implementation</t>
  </si>
  <si>
    <t>Dynamics 365 Supply Chain Management</t>
  </si>
  <si>
    <t>Dynamics 365 Supply Chain Management (SCM): Advanced Warehousing Implementation</t>
  </si>
  <si>
    <t>Dynamics 365 Supply Chain Management (SCM): Discrete Manufacturing Implementation</t>
  </si>
  <si>
    <t>Dynamics 365 Supply Chain Management (SCM): Guides Implementation</t>
  </si>
  <si>
    <t>Dynamics 365 Supply Chain Management (SCM): Intelligent Order Management (IOM) Implementation</t>
  </si>
  <si>
    <t>Dynamics 365 Supply Chain Management (SCM): Intercompany Implementation</t>
  </si>
  <si>
    <t>Dynamics 365 Supply Chain Management (SCM): Inventory Management Module Implementation</t>
  </si>
  <si>
    <t>Dynamics 365 Supply Chain Management (SCM): Landed Cost Module Implementation</t>
  </si>
  <si>
    <t>Dynamics 365 Supply Chain Management (SCM): Lean Manufacturing Module Implementation</t>
  </si>
  <si>
    <t>Dynamics 365 Supply Chain Management (SCM): Master Planning Module Implementation</t>
  </si>
  <si>
    <t>Dynamics 365 Supply Chain Management (SCM): Process Manufacturing Module Implementation</t>
  </si>
  <si>
    <t>Dynamics 365 Supply Chain Management (SCM): Procurement &amp; Sourcing Module Implementation</t>
  </si>
  <si>
    <t>Dynamics 365 Supply Chain Management (SCM): Production Control Module Implementation</t>
  </si>
  <si>
    <t>Dynamics 365 Supply Chain Management (SCM): Supply Chain Insights Implementation</t>
  </si>
  <si>
    <t>Dynamics 365 Supply Chain Management (SCM): Transportation Management (TMS) Implementation</t>
  </si>
  <si>
    <t>Dynamics 365 Supply Chain Management (SCM): Vendor Collaboration Module Implementation</t>
  </si>
  <si>
    <t>Dynamics 365 Supply Chain Management (SCM): Warehouse Management (WMS) Module Implementation</t>
  </si>
  <si>
    <t>Dynamics AX</t>
  </si>
  <si>
    <t>Dynamics Copilot</t>
  </si>
  <si>
    <t>Dynamics CRM</t>
  </si>
  <si>
    <t>EAS Cloud Applications</t>
  </si>
  <si>
    <t>EasyMock</t>
  </si>
  <si>
    <t>EclEmma</t>
  </si>
  <si>
    <t>Eclipse</t>
  </si>
  <si>
    <t>eDiscovery</t>
  </si>
  <si>
    <t>Emotional intelligence</t>
  </si>
  <si>
    <t>Engagement Leadership</t>
  </si>
  <si>
    <t>Enhanced Mitigation Experience Toolkit (EMET)</t>
  </si>
  <si>
    <t>Enterprise Resource Planning (ERP) System</t>
  </si>
  <si>
    <t>Enterprise Web architectures</t>
  </si>
  <si>
    <t>Envisioning</t>
  </si>
  <si>
    <t>Envisioning Workshop</t>
  </si>
  <si>
    <t>Envoy</t>
  </si>
  <si>
    <t>ERP Configuration</t>
  </si>
  <si>
    <t>ERP Consulting Experience</t>
  </si>
  <si>
    <t>ERP Functional Consulting</t>
  </si>
  <si>
    <t>ERP Infrastructure Planning</t>
  </si>
  <si>
    <t>ERP Integrations</t>
  </si>
  <si>
    <t>ERP Security and Compliance</t>
  </si>
  <si>
    <t>ERP Technical Consulting</t>
  </si>
  <si>
    <t>Exchange Online Administration and Governance</t>
  </si>
  <si>
    <t>Exchange Online Security and Compliance</t>
  </si>
  <si>
    <t>Exchange Server</t>
  </si>
  <si>
    <t>Exchange Server Development</t>
  </si>
  <si>
    <t>Exchange Server Hybrid Design and Implementation</t>
  </si>
  <si>
    <t>Exchange Server Notes Migration</t>
  </si>
  <si>
    <t>Exchange Server Online Administration and Governance</t>
  </si>
  <si>
    <t>Exchange Server Online Design and Implementation</t>
  </si>
  <si>
    <t>Exchange Server Online Protection</t>
  </si>
  <si>
    <t>Exchange Server Online Security and Compliance</t>
  </si>
  <si>
    <t>Exchange Server On-Premises Design and Implementation</t>
  </si>
  <si>
    <t>Exchange Server On-Premises to Online Migration</t>
  </si>
  <si>
    <t>Exchange Server Tenant to Tenant Migration</t>
  </si>
  <si>
    <t>Executive Presence</t>
  </si>
  <si>
    <t>Executive Relationships</t>
  </si>
  <si>
    <t>Expectation management</t>
  </si>
  <si>
    <t>Fabric Copilot</t>
  </si>
  <si>
    <t>Feature Team Engineering</t>
  </si>
  <si>
    <t>Fiddler</t>
  </si>
  <si>
    <t>Financial Analysis</t>
  </si>
  <si>
    <t>FinOps</t>
  </si>
  <si>
    <t>Flood Testing Tool</t>
  </si>
  <si>
    <t>Fluentd</t>
  </si>
  <si>
    <t>Forecasting</t>
  </si>
  <si>
    <t>Forefront Identity Manager (FIM)</t>
  </si>
  <si>
    <t>Forensic analysis tool</t>
  </si>
  <si>
    <t>Forensic Analysis Tool​</t>
  </si>
  <si>
    <t>Forms</t>
  </si>
  <si>
    <t>Fraud Analytics</t>
  </si>
  <si>
    <t>FSLogix</t>
  </si>
  <si>
    <t>FSLogix Design and Implementation</t>
  </si>
  <si>
    <t>Functional AI test planning and execution</t>
  </si>
  <si>
    <t>Functional and Experience Benchmarking</t>
  </si>
  <si>
    <t>Functional Security testing</t>
  </si>
  <si>
    <t>Gatekeeper v1</t>
  </si>
  <si>
    <t>Gatekeeper v2 Integration - gRPC APIs</t>
  </si>
  <si>
    <t>Gatekeeper v2 Integration - REST APIs</t>
  </si>
  <si>
    <t>Gatekeeper v2 Media Manager Integration- gRPC APIs</t>
  </si>
  <si>
    <t>General Web Site development</t>
  </si>
  <si>
    <t>Generative AI</t>
  </si>
  <si>
    <t>Genesys Composer/Studio</t>
  </si>
  <si>
    <t>Genesys CTI</t>
  </si>
  <si>
    <t>Genesys GVP</t>
  </si>
  <si>
    <t>Genomics Analytics</t>
  </si>
  <si>
    <t>Git Lab- source control CI/CD</t>
  </si>
  <si>
    <t>GitHub</t>
  </si>
  <si>
    <t>GitHub - Copilot</t>
  </si>
  <si>
    <t>GitHub Advanced Security</t>
  </si>
  <si>
    <t>Github- source control CI/CD</t>
  </si>
  <si>
    <t>GK2 Caller Validation Connector</t>
  </si>
  <si>
    <t>GK2 Connectors deployment (hosted)</t>
  </si>
  <si>
    <t>GK2 Connectors deployment (on-prem)</t>
  </si>
  <si>
    <t>GlassFish</t>
  </si>
  <si>
    <t>Golang (Go)</t>
  </si>
  <si>
    <t>Google Cloud</t>
  </si>
  <si>
    <t>Google Web Toolkit (GWT)</t>
  </si>
  <si>
    <t>Governance Compliance</t>
  </si>
  <si>
    <t>Governance Risk</t>
  </si>
  <si>
    <t>GPU Compute Shaders</t>
  </si>
  <si>
    <t>Graph API for M365</t>
  </si>
  <si>
    <t>Graphical User Interface Design</t>
  </si>
  <si>
    <t>Groovy</t>
  </si>
  <si>
    <t>gRPC Framework</t>
  </si>
  <si>
    <t>H.323 Telephony Architecture</t>
  </si>
  <si>
    <t>H2 Database</t>
  </si>
  <si>
    <t>Hadoop</t>
  </si>
  <si>
    <t>Hardware Engineering</t>
  </si>
  <si>
    <t>HD Insights</t>
  </si>
  <si>
    <t>Helm</t>
  </si>
  <si>
    <t>Hibernate Persistence Framework</t>
  </si>
  <si>
    <t>High Performance Computing (HPC)</t>
  </si>
  <si>
    <t>High-Level Shader Language (HLSL)</t>
  </si>
  <si>
    <t>HockeyApp</t>
  </si>
  <si>
    <t>Holly Voice Platform</t>
  </si>
  <si>
    <t>HoloLens</t>
  </si>
  <si>
    <t>Host configuration review</t>
  </si>
  <si>
    <t>HR and Tech Domain Experience</t>
  </si>
  <si>
    <t>HTML</t>
  </si>
  <si>
    <t>HTTPS (SSL)</t>
  </si>
  <si>
    <t>HttpUnit</t>
  </si>
  <si>
    <t>Hudson</t>
  </si>
  <si>
    <t>Hybrid &amp; Multi-Cloud​</t>
  </si>
  <si>
    <t>Hybrid Cloud Printing</t>
  </si>
  <si>
    <t>Hybrid Cloud Well-Architected Framework</t>
  </si>
  <si>
    <t>Hyper-V</t>
  </si>
  <si>
    <t>iBatis Persistance Framework</t>
  </si>
  <si>
    <t>IBM WebSphere</t>
  </si>
  <si>
    <t>IBM WebSphere Voice Response</t>
  </si>
  <si>
    <t>ICM Connector Installation</t>
  </si>
  <si>
    <t>Identity &amp; Access</t>
  </si>
  <si>
    <t>Identity and Access Management Product/ Solution​</t>
  </si>
  <si>
    <t>Identity Management</t>
  </si>
  <si>
    <t>Identity Strategy</t>
  </si>
  <si>
    <t>Incident Management</t>
  </si>
  <si>
    <t>Incident Response</t>
  </si>
  <si>
    <t>Inclusive Design</t>
  </si>
  <si>
    <t>Inclusive Leadership</t>
  </si>
  <si>
    <t>Industry Operational Excellence</t>
  </si>
  <si>
    <t>Industry-Specific Analytics</t>
  </si>
  <si>
    <t>Influencing Stakeholders</t>
  </si>
  <si>
    <t>Information Protection</t>
  </si>
  <si>
    <t>Infrastructure and Application Management</t>
  </si>
  <si>
    <t>Infrastructure as a Service (IaaS)</t>
  </si>
  <si>
    <t>Infrastructure as Code (IaC)</t>
  </si>
  <si>
    <t>Infrastructure as Code (IaC) assets and tooling</t>
  </si>
  <si>
    <t>Infrastructure Project Validation</t>
  </si>
  <si>
    <t>Insightful Listening</t>
  </si>
  <si>
    <t>Insight-Led Conversations</t>
  </si>
  <si>
    <t>Insomnia</t>
  </si>
  <si>
    <t>Intellectual Property (IP) Data Replicator</t>
  </si>
  <si>
    <t>Intelligent Offer Management (IOM)</t>
  </si>
  <si>
    <t>IntelliJ</t>
  </si>
  <si>
    <t>Interactive Intelligence (I3) Platform</t>
  </si>
  <si>
    <t>Interdisciplinary Expertise</t>
  </si>
  <si>
    <t>Internet Information Services (IIS)</t>
  </si>
  <si>
    <t>Internet Security Acceleration (ISA)</t>
  </si>
  <si>
    <t>Interoperability</t>
  </si>
  <si>
    <t>Intervoice (non-VXML)</t>
  </si>
  <si>
    <t>Intervoice InVision</t>
  </si>
  <si>
    <t>Intervoice MTC</t>
  </si>
  <si>
    <t>Intervoice MTC CTI</t>
  </si>
  <si>
    <t>Intune Application Protection</t>
  </si>
  <si>
    <t>Intune Device Management​</t>
  </si>
  <si>
    <t>IoT Application Management</t>
  </si>
  <si>
    <t>IoT SDKs/RTOS</t>
  </si>
  <si>
    <t>IQ Studio</t>
  </si>
  <si>
    <t>IT &amp; Business Strategy Alignment</t>
  </si>
  <si>
    <t>J2EE (advanced)</t>
  </si>
  <si>
    <t>J2ME</t>
  </si>
  <si>
    <t>Jaeger</t>
  </si>
  <si>
    <t>Java</t>
  </si>
  <si>
    <t>JavaScript</t>
  </si>
  <si>
    <t>Jboss Application Server</t>
  </si>
  <si>
    <t>Jenkins</t>
  </si>
  <si>
    <t>Jetty</t>
  </si>
  <si>
    <t>Jira</t>
  </si>
  <si>
    <t>JMeter</t>
  </si>
  <si>
    <t>Jquery</t>
  </si>
  <si>
    <t>JSON</t>
  </si>
  <si>
    <t>JSUnit</t>
  </si>
  <si>
    <t>Junit</t>
  </si>
  <si>
    <t>Kanban</t>
  </si>
  <si>
    <t>Kingsway Soft</t>
  </si>
  <si>
    <t>Klaxoon</t>
  </si>
  <si>
    <t>Knowledge Management</t>
  </si>
  <si>
    <t>Knowledge Mining</t>
  </si>
  <si>
    <t>Kusto Query Language (KQL)</t>
  </si>
  <si>
    <t>Large Language Model</t>
  </si>
  <si>
    <t>LDAP Authentication</t>
  </si>
  <si>
    <t>Lean IT</t>
  </si>
  <si>
    <t>Leverage Digital Signals</t>
  </si>
  <si>
    <t>Linux</t>
  </si>
  <si>
    <t>Live Chat Operational Metrics</t>
  </si>
  <si>
    <t>Live Chat Program Design</t>
  </si>
  <si>
    <t>Load balancing and Traffic Management</t>
  </si>
  <si>
    <t>Local Administrator Password Solution (LAPS)</t>
  </si>
  <si>
    <t>M365 - Govern and Manage</t>
  </si>
  <si>
    <t>M365 Copilot</t>
  </si>
  <si>
    <t>MaaS Assessment Services</t>
  </si>
  <si>
    <t>Machine Learning and Modeling</t>
  </si>
  <si>
    <t>Machine Learning Ops (ML Ops)</t>
  </si>
  <si>
    <t>Macros</t>
  </si>
  <si>
    <t>Mainframe Modernization Services</t>
  </si>
  <si>
    <t>Managed IP Development</t>
  </si>
  <si>
    <t>Managed Services and IP Development</t>
  </si>
  <si>
    <t>Manual Testing of D365 solution and Integrations</t>
  </si>
  <si>
    <t>Market and Customer Understanding</t>
  </si>
  <si>
    <t>Marketing - Adobe Marketing Cloud</t>
  </si>
  <si>
    <t>Marketing - Marketing Insights</t>
  </si>
  <si>
    <t>Marketing Analytics</t>
  </si>
  <si>
    <t>Maven</t>
  </si>
  <si>
    <t>Meego</t>
  </si>
  <si>
    <t>Mentimeter</t>
  </si>
  <si>
    <t>Mercurial</t>
  </si>
  <si>
    <t>Metaverse</t>
  </si>
  <si>
    <t>Microsoft 365 Administration and Governance</t>
  </si>
  <si>
    <t>Microsoft 365 Administration Center</t>
  </si>
  <si>
    <t>Microsoft 365 Advanced Data Loss Prevention (DLP) Design and Implementation</t>
  </si>
  <si>
    <t>Microsoft 365 Defender</t>
  </si>
  <si>
    <t>Microsoft 365 Enterprise Apps (Office)</t>
  </si>
  <si>
    <t>Microsoft 365 Enterprise Mobility + Security (EMS)</t>
  </si>
  <si>
    <t>Microsoft 365 for Education</t>
  </si>
  <si>
    <t>Microsoft 365 General</t>
  </si>
  <si>
    <t>Microsoft 365 Identity</t>
  </si>
  <si>
    <t>Microsoft 365 Information Governance Design and Implementation</t>
  </si>
  <si>
    <t>Microsoft 365 Integration for Virtual Personal Assistant (VPA)</t>
  </si>
  <si>
    <t>Microsoft 365 Management API</t>
  </si>
  <si>
    <t>Microsoft 365 Network Performance and Optimization</t>
  </si>
  <si>
    <t>Microsoft 365 Scripting</t>
  </si>
  <si>
    <t>Microsoft 365 Store</t>
  </si>
  <si>
    <t>Microsoft 365 Suite</t>
  </si>
  <si>
    <t>Microsoft Application Management</t>
  </si>
  <si>
    <t>Microsoft Application Packaging Design and Implementation</t>
  </si>
  <si>
    <t>Microsoft Azure Integration Services</t>
  </si>
  <si>
    <t>Microsoft Bookings</t>
  </si>
  <si>
    <t>Microsoft Catalyst</t>
  </si>
  <si>
    <t>Microsoft Certificate Solutions</t>
  </si>
  <si>
    <t>Microsoft Cloud App Security (MCAS)</t>
  </si>
  <si>
    <t>Microsoft Cognitive Toolkit (CNTK)</t>
  </si>
  <si>
    <t>Microsoft Commerce Server</t>
  </si>
  <si>
    <t>Microsoft Configuration Manager</t>
  </si>
  <si>
    <t>Microsoft Defender Cloud Security Posture Mgmt</t>
  </si>
  <si>
    <t>Microsoft Defender External Attack Surface Management</t>
  </si>
  <si>
    <t>Microsoft Defender for Business</t>
  </si>
  <si>
    <t>Microsoft Defender for Cloud</t>
  </si>
  <si>
    <t>Microsoft Defender for DevOps</t>
  </si>
  <si>
    <t>Microsoft Defender for Endpoint</t>
  </si>
  <si>
    <t>Microsoft Defender for Identity</t>
  </si>
  <si>
    <t>Microsoft Defender for IoT</t>
  </si>
  <si>
    <t>Microsoft Defender for Microsoft 365</t>
  </si>
  <si>
    <t>Microsoft Defender for Office 365</t>
  </si>
  <si>
    <t>Microsoft Defender Threat Intelligence (MTDI)</t>
  </si>
  <si>
    <t>Microsoft Defender Vulnerability Management</t>
  </si>
  <si>
    <t>Microsoft Delve</t>
  </si>
  <si>
    <t>Microsoft Device Analytics Design and Implementation</t>
  </si>
  <si>
    <t>Microsoft Dynamics Lifecycle Services (LCS)</t>
  </si>
  <si>
    <t>Microsoft Endpoint Configuration Manager</t>
  </si>
  <si>
    <t>Microsoft Entra External ID</t>
  </si>
  <si>
    <t>Microsoft Entra ID (Azure AD)</t>
  </si>
  <si>
    <t>Microsoft Entra ID Governance</t>
  </si>
  <si>
    <t>Microsoft Entra ID Protection</t>
  </si>
  <si>
    <t>Microsoft Entra Internet Access – Public Preview</t>
  </si>
  <si>
    <t>Microsoft Entra Permissions Management</t>
  </si>
  <si>
    <t>Microsoft Entra Private Access – Public Preview</t>
  </si>
  <si>
    <t>Microsoft Entra Strong Authentication</t>
  </si>
  <si>
    <t>Microsoft Entra Verified ID</t>
  </si>
  <si>
    <t>Microsoft Entra Workload ID</t>
  </si>
  <si>
    <t>Microsoft Fabric</t>
  </si>
  <si>
    <t>Microsoft GCC</t>
  </si>
  <si>
    <t>Microsoft GCC-High</t>
  </si>
  <si>
    <t>Microsoft Identity Manager (MIM)</t>
  </si>
  <si>
    <t>Microsoft IIS</t>
  </si>
  <si>
    <t>Microsoft Intune</t>
  </si>
  <si>
    <t>Microsoft Intune App Protection Design and Implementation</t>
  </si>
  <si>
    <t>Microsoft Intune Endpoint Privilege Management​</t>
  </si>
  <si>
    <t>Microsoft Intune Mobile Device Management (MDM) Design and Implementation</t>
  </si>
  <si>
    <t>Microsoft Loop</t>
  </si>
  <si>
    <t>Microsoft Priva</t>
  </si>
  <si>
    <t>Microsoft Priva Risk Management</t>
  </si>
  <si>
    <t>Microsoft Priva Subject Rights Requests</t>
  </si>
  <si>
    <t>Microsoft Project Design and Implementation</t>
  </si>
  <si>
    <t>Microsoft Project Development</t>
  </si>
  <si>
    <t>Microsoft Project Migration</t>
  </si>
  <si>
    <t>Microsoft Purview</t>
  </si>
  <si>
    <t>Microsoft Purview Audit</t>
  </si>
  <si>
    <t>Microsoft Purview Communication Compliance</t>
  </si>
  <si>
    <t>Microsoft Purview Compliance Manager</t>
  </si>
  <si>
    <t>Microsoft Purview Data Catalog</t>
  </si>
  <si>
    <t>Microsoft Purview Data Estate Insights</t>
  </si>
  <si>
    <t>Microsoft Purview Data Lifecycle Management</t>
  </si>
  <si>
    <t>Microsoft Purview Data Loss Prevention</t>
  </si>
  <si>
    <t>Microsoft Purview Data Map</t>
  </si>
  <si>
    <t>Microsoft Purview eDiscovery</t>
  </si>
  <si>
    <t>Microsoft Purview for M365</t>
  </si>
  <si>
    <t>Microsoft Purview Information Governance</t>
  </si>
  <si>
    <t>Microsoft Purview Information Protection</t>
  </si>
  <si>
    <t>Microsoft Purview Insider Risk Management</t>
  </si>
  <si>
    <t>Microsoft Remote Assist</t>
  </si>
  <si>
    <t>Microsoft Sales Process</t>
  </si>
  <si>
    <t>Microsoft Search</t>
  </si>
  <si>
    <t>Microsoft Security Copilot</t>
  </si>
  <si>
    <t>Microsoft Security Frameworks and Reference Architectures​</t>
  </si>
  <si>
    <t>Microsoft Sentinel</t>
  </si>
  <si>
    <t>Microsoft SQL Server Reporting Services</t>
  </si>
  <si>
    <t>Microsoft Store for Business</t>
  </si>
  <si>
    <t>Microsoft Stream</t>
  </si>
  <si>
    <t>Microsoft Sustainability Manager</t>
  </si>
  <si>
    <t>Microsoft Syntex</t>
  </si>
  <si>
    <t>Microsoft Teams</t>
  </si>
  <si>
    <t>Microsoft Tunnel Design and Implementation</t>
  </si>
  <si>
    <t>Microsoft Viva</t>
  </si>
  <si>
    <t>Microsoft Viva Change Management</t>
  </si>
  <si>
    <t>Microsoft Viva Design and Implementation</t>
  </si>
  <si>
    <t>Microsoft Whiteboard</t>
  </si>
  <si>
    <t>Migration and Optimization</t>
  </si>
  <si>
    <t>Migration Testing</t>
  </si>
  <si>
    <t>Mix.dialog</t>
  </si>
  <si>
    <t>Mix.nlu</t>
  </si>
  <si>
    <t>Mixed Reality</t>
  </si>
  <si>
    <t>Mobile App Development</t>
  </si>
  <si>
    <t>Mobile Testing</t>
  </si>
  <si>
    <t>Mobile User Interface Design</t>
  </si>
  <si>
    <t>MobileSDK (NDEP)</t>
  </si>
  <si>
    <t>Mockito</t>
  </si>
  <si>
    <t>Model Deployment and Evaluation</t>
  </si>
  <si>
    <t>Model Driven Apps</t>
  </si>
  <si>
    <t>Modeling and Statistical Analysis</t>
  </si>
  <si>
    <t>Modeling Experience</t>
  </si>
  <si>
    <t>Modern Service Management (MSM)</t>
  </si>
  <si>
    <t>MQ Series</t>
  </si>
  <si>
    <t>Multi-Industry Experience</t>
  </si>
  <si>
    <t>Multilingual design</t>
  </si>
  <si>
    <t>Mural</t>
  </si>
  <si>
    <t>MXML</t>
  </si>
  <si>
    <t>Name Resolution</t>
  </si>
  <si>
    <t>Native</t>
  </si>
  <si>
    <t>Natural Language Processing</t>
  </si>
  <si>
    <t>Natural Language Understanding (NLU) - Design</t>
  </si>
  <si>
    <t>Natural Language Understanding (NLU) - Tagging</t>
  </si>
  <si>
    <t>NDEP Chat Interface v2 (CIV2)</t>
  </si>
  <si>
    <t>NEAP/Mix Nuance Insights</t>
  </si>
  <si>
    <t>Negotiation</t>
  </si>
  <si>
    <t>NetBeans</t>
  </si>
  <si>
    <t>Network and Remote Access​ Security Management</t>
  </si>
  <si>
    <t>Network deployment and customization</t>
  </si>
  <si>
    <t>Network Design and Implementation</t>
  </si>
  <si>
    <t>Network Management and Monitoring</t>
  </si>
  <si>
    <t>Networking</t>
  </si>
  <si>
    <t>Nginx</t>
  </si>
  <si>
    <t>NICE Call Recording</t>
  </si>
  <si>
    <t>Nina Virtual Assistant</t>
  </si>
  <si>
    <t>NOD mock backend</t>
  </si>
  <si>
    <t>NOD Voice Ruby</t>
  </si>
  <si>
    <t>Node and package management via NPM​</t>
  </si>
  <si>
    <t>Node.js</t>
  </si>
  <si>
    <t>Nortel MPS</t>
  </si>
  <si>
    <t>Nortel PeriPro</t>
  </si>
  <si>
    <t>NoSQL Database</t>
  </si>
  <si>
    <t>Notification Hub</t>
  </si>
  <si>
    <t>Nuance Agent Interface</t>
  </si>
  <si>
    <t>Nuance Application Reporting (NAR)</t>
  </si>
  <si>
    <t>Nuance Application Studio (NAS)</t>
  </si>
  <si>
    <t>Nuance Automation Assist</t>
  </si>
  <si>
    <t>Nuance Call Steering Portal (NCSP)</t>
  </si>
  <si>
    <t>Nuance Client Portal (NCP)</t>
  </si>
  <si>
    <t>Nuance Conversation Engine (NCE)</t>
  </si>
  <si>
    <t>Nuance Development Framework - Regular (NDF)</t>
  </si>
  <si>
    <t>Nuance Development Framework - State Engine (NDF SE)</t>
  </si>
  <si>
    <t>Nuance Dialog Module (NDM)</t>
  </si>
  <si>
    <t>Nuance Digital Engagement Platform (NDEP)</t>
  </si>
  <si>
    <t>Nuance Enterprise Access Management (NEAM)</t>
  </si>
  <si>
    <t>Nuance Enterprise Studio (NES)</t>
  </si>
  <si>
    <t>Nuance FreeSpeech</t>
  </si>
  <si>
    <t>Nuance Insights for IVR (NII)</t>
  </si>
  <si>
    <t>Nuance Krypton</t>
  </si>
  <si>
    <t>Nuance Language Engine (NLE)</t>
  </si>
  <si>
    <t>Nuance License Manager (FlexLM)</t>
  </si>
  <si>
    <t>Nuance Management Station (NMS)</t>
  </si>
  <si>
    <t>Nuance Mix</t>
  </si>
  <si>
    <t>Nuance Mobile Application Server (NMAS) development</t>
  </si>
  <si>
    <t>Nuance Mobile Speech Platform (NMSP) SDK</t>
  </si>
  <si>
    <t>Nuance Natural Language Engine (NLE)</t>
  </si>
  <si>
    <t>Nuance Proactive Engagement Platform (NPEP)</t>
  </si>
  <si>
    <t>Nuance Resource Manager (NRM)</t>
  </si>
  <si>
    <t>Nuance Speech Server (NSS) 5.x, 6.x</t>
  </si>
  <si>
    <t>Nuance Stubbing Framework (nStubs)</t>
  </si>
  <si>
    <t>Nuance Vocalizer for Cloud (NVC) SDK</t>
  </si>
  <si>
    <t>Nuance Voice Portal (NVP)</t>
  </si>
  <si>
    <t>Objective-C</t>
  </si>
  <si>
    <t>Objectives and Key Results (OKRs)</t>
  </si>
  <si>
    <t>Obstacle removal</t>
  </si>
  <si>
    <t>OICD - Azure Open ID Connect</t>
  </si>
  <si>
    <t>Omni-Channel</t>
  </si>
  <si>
    <t>On Demand Insight (ODI)</t>
  </si>
  <si>
    <t>Onboarding Pack Solution Security</t>
  </si>
  <si>
    <t>OneDrive for Business</t>
  </si>
  <si>
    <t>On-Premises Identity Services</t>
  </si>
  <si>
    <t>Open Source Container Orchestration</t>
  </si>
  <si>
    <t>Open Source Solutions</t>
  </si>
  <si>
    <t>Open Speech Attendant (OSA)</t>
  </si>
  <si>
    <t>OpenSpeech Dialog (OSD)</t>
  </si>
  <si>
    <t>OpenSpeech Dialog Modules (OSDM)</t>
  </si>
  <si>
    <t>OpenSTA</t>
  </si>
  <si>
    <t>Operations for Artificial Intelligence &amp; Copilot</t>
  </si>
  <si>
    <t>Operations for Machine Learning</t>
  </si>
  <si>
    <t>Opportunity and Solution Identification</t>
  </si>
  <si>
    <t>Opportunity Identification</t>
  </si>
  <si>
    <t>Opportunity Qualification</t>
  </si>
  <si>
    <t>Optimization</t>
  </si>
  <si>
    <t>Oracle</t>
  </si>
  <si>
    <t>Oracle GoldenGate</t>
  </si>
  <si>
    <t>Oracle Weblogic Application Server</t>
  </si>
  <si>
    <t>Orchestration</t>
  </si>
  <si>
    <t>Org and Technical Assessment</t>
  </si>
  <si>
    <t>Organizational Transformation and Change</t>
  </si>
  <si>
    <t>OT Protocols</t>
  </si>
  <si>
    <t>Outbound IVR or Outbound SMS</t>
  </si>
  <si>
    <t>Pentaho</t>
  </si>
  <si>
    <t>People Mobilization for Velocity Services</t>
  </si>
  <si>
    <t>PeopleSoft</t>
  </si>
  <si>
    <t>Performance and Troubleshooting</t>
  </si>
  <si>
    <t>Performance Optimization</t>
  </si>
  <si>
    <t>Perl</t>
  </si>
  <si>
    <t>PHP</t>
  </si>
  <si>
    <t>Pipeline Forecasting</t>
  </si>
  <si>
    <t>Platform as a Service (PaaS)</t>
  </si>
  <si>
    <t>Portfolio Management</t>
  </si>
  <si>
    <t>Postman</t>
  </si>
  <si>
    <t>Power Apps</t>
  </si>
  <si>
    <t>Power Apps Component Framework</t>
  </si>
  <si>
    <t>Power Automate</t>
  </si>
  <si>
    <t>Power BI</t>
  </si>
  <si>
    <t>Power Pages</t>
  </si>
  <si>
    <t>Power Platform - Govern and Manage</t>
  </si>
  <si>
    <t>Power Platform Copilot</t>
  </si>
  <si>
    <t>Power Portals</t>
  </si>
  <si>
    <t>Power Virtual Agents</t>
  </si>
  <si>
    <t>PowerShell</t>
  </si>
  <si>
    <t>Predictive Modeling</t>
  </si>
  <si>
    <t>Prioritization</t>
  </si>
  <si>
    <t>Privileged Access Workstation (PAW​)</t>
  </si>
  <si>
    <t>Privileged Access Workstation for Cloud Services Management (PAW CSM)</t>
  </si>
  <si>
    <t>Problem Solving</t>
  </si>
  <si>
    <t>Process Automation Development</t>
  </si>
  <si>
    <t>Product backlog management</t>
  </si>
  <si>
    <t>Product Centric Experience</t>
  </si>
  <si>
    <t>Product manager support</t>
  </si>
  <si>
    <t>Product OKR Definition​</t>
  </si>
  <si>
    <t>Product Planning and Roadmapping</t>
  </si>
  <si>
    <t>Product Strategy and Vision</t>
  </si>
  <si>
    <t>Product/ Service Advocacy</t>
  </si>
  <si>
    <t>Product/ Service Design</t>
  </si>
  <si>
    <t>Product/ Service Launch Facilitation</t>
  </si>
  <si>
    <t>Product/ Service Monitoring and Evaluation</t>
  </si>
  <si>
    <t>Program Management</t>
  </si>
  <si>
    <t>Programming Logic</t>
  </si>
  <si>
    <t>Project Communications Management</t>
  </si>
  <si>
    <t>Project Cost Management</t>
  </si>
  <si>
    <t>Project Integration Management</t>
  </si>
  <si>
    <t>Project Management and Coordination for Exchange Server Implementations and Migration</t>
  </si>
  <si>
    <t>Project Pre-Sales/Capture Management</t>
  </si>
  <si>
    <t>Project Procurement Management</t>
  </si>
  <si>
    <t>Project Quality Management</t>
  </si>
  <si>
    <t>Project Recovery Assessment Planning</t>
  </si>
  <si>
    <t>Project Recovery Conduct Assessment</t>
  </si>
  <si>
    <t>Project Recovery Execution</t>
  </si>
  <si>
    <t>Project Recovery Plan Development</t>
  </si>
  <si>
    <t>Project Recovery Process</t>
  </si>
  <si>
    <t>Project Recovery Root Cause Analysis</t>
  </si>
  <si>
    <t>Project Resource Management</t>
  </si>
  <si>
    <t>Project Risk Management</t>
  </si>
  <si>
    <t>Project Scope Management</t>
  </si>
  <si>
    <t>Project Time Management</t>
  </si>
  <si>
    <t>Prometheus</t>
  </si>
  <si>
    <t>Prompt Flow</t>
  </si>
  <si>
    <t>PROSCI</t>
  </si>
  <si>
    <t>Public Key Infrastructure (PKI)</t>
  </si>
  <si>
    <t>Puppet</t>
  </si>
  <si>
    <t>Python</t>
  </si>
  <si>
    <t>Quality Assurance</t>
  </si>
  <si>
    <t>Quality Assurance (QA)</t>
  </si>
  <si>
    <t>Quantum Algorithms</t>
  </si>
  <si>
    <t>Quantum Computing</t>
  </si>
  <si>
    <t>Quantum Hardware Interface</t>
  </si>
  <si>
    <t>R</t>
  </si>
  <si>
    <t>Rapid Prototyping</t>
  </si>
  <si>
    <t>React</t>
  </si>
  <si>
    <t>RealSpeak 4.0/4.5</t>
  </si>
  <si>
    <t>Recognize and Respond to Security Threats​</t>
  </si>
  <si>
    <t>Recurring Integrations Scheduler (RIS)</t>
  </si>
  <si>
    <t>REDIS Cache</t>
  </si>
  <si>
    <t>Regulatory Compliance</t>
  </si>
  <si>
    <t>Repeat Caller Analysis</t>
  </si>
  <si>
    <t>Repeat Contact Analysis</t>
  </si>
  <si>
    <t>Report Creation &amp; Customization</t>
  </si>
  <si>
    <t>Reporting KPI definition (Key Performance Indicators)</t>
  </si>
  <si>
    <t>Researching stakeholders</t>
  </si>
  <si>
    <t>Resin</t>
  </si>
  <si>
    <t>Resource Manager (NRM)</t>
  </si>
  <si>
    <t>Resource Planning</t>
  </si>
  <si>
    <t>Responsible AI</t>
  </si>
  <si>
    <t>Retail Server/CRT Extension/ Retail SDK​</t>
  </si>
  <si>
    <t>Rights Management Services (RMS)</t>
  </si>
  <si>
    <t>Risk &amp; Credit Analytics</t>
  </si>
  <si>
    <t>Risk Management​</t>
  </si>
  <si>
    <t>RiverMeadow</t>
  </si>
  <si>
    <t>Robotic Process Automation (RPA)</t>
  </si>
  <si>
    <t>Robotic Process Automation (RPA) Migration Tools</t>
  </si>
  <si>
    <t>SAAS Solutions</t>
  </si>
  <si>
    <t>SAFe – The Scaled Agile Framework</t>
  </si>
  <si>
    <t>SAGE Box (T-1 Test tool)</t>
  </si>
  <si>
    <t>SAP Data Services</t>
  </si>
  <si>
    <t>SAP Hana Cloud Integration</t>
  </si>
  <si>
    <t>SAP Hana Cloud Platform</t>
  </si>
  <si>
    <t>SAP Landscape Transformation</t>
  </si>
  <si>
    <t>SAP on Azure</t>
  </si>
  <si>
    <t>SAP Project Management</t>
  </si>
  <si>
    <t>SAP Rise on Azure</t>
  </si>
  <si>
    <t>Scala</t>
  </si>
  <si>
    <t>Scribe</t>
  </si>
  <si>
    <t>Scripting</t>
  </si>
  <si>
    <t>SCRUM</t>
  </si>
  <si>
    <t>Scrum@Scale</t>
  </si>
  <si>
    <t>SCSS for theme development (or CSS)​</t>
  </si>
  <si>
    <t>Search Capabilities</t>
  </si>
  <si>
    <t>Secure Control Framework (SCF)</t>
  </si>
  <si>
    <t>Secure Development</t>
  </si>
  <si>
    <t>Secure Hybrid Identities​</t>
  </si>
  <si>
    <t>Secure Management​</t>
  </si>
  <si>
    <t>Security and Compliance Center (SCC)</t>
  </si>
  <si>
    <t>Security and Governance</t>
  </si>
  <si>
    <t>Security Architecture</t>
  </si>
  <si>
    <t>Security Architecture​</t>
  </si>
  <si>
    <t>Security code review</t>
  </si>
  <si>
    <t>Security Compliance</t>
  </si>
  <si>
    <t>Security Development Lifecycle process (SDL)</t>
  </si>
  <si>
    <t>Security for Endpoint​</t>
  </si>
  <si>
    <t>Security Incident Management and Crisis Management</t>
  </si>
  <si>
    <t>Security Information and Event Management (SIEM​)</t>
  </si>
  <si>
    <t>Security Investigations</t>
  </si>
  <si>
    <t>Security Operating Model Adoption for Digital Security and Compliance</t>
  </si>
  <si>
    <t>Security Operations</t>
  </si>
  <si>
    <t>Security Operations (Security Operating Model)​</t>
  </si>
  <si>
    <t>Security testing</t>
  </si>
  <si>
    <t>Security Threat Analysis</t>
  </si>
  <si>
    <t>Security Threat Investigation</t>
  </si>
  <si>
    <t>Sell-with partners</t>
  </si>
  <si>
    <t>Serverless Computing</t>
  </si>
  <si>
    <t>Service Usage Report (SUR)</t>
  </si>
  <si>
    <t>Services Management for Azure</t>
  </si>
  <si>
    <t>Services Management for CCoE Cloud Native Operations</t>
  </si>
  <si>
    <t>Services Management for D365 Operational Readiness</t>
  </si>
  <si>
    <t>Services Management for Data Governance and Operations</t>
  </si>
  <si>
    <t>Services Management for Information Protection and Governance</t>
  </si>
  <si>
    <t>Services Management for Intune Device Management</t>
  </si>
  <si>
    <t>Services Management for Microsoft 365</t>
  </si>
  <si>
    <t>Services Management for Privileged Access Workstation</t>
  </si>
  <si>
    <t>Services Management for Security Operating Model for Identity</t>
  </si>
  <si>
    <t>Services Management for Security Operating Model for SOC</t>
  </si>
  <si>
    <t>Session Initiation Protocol (SIP)</t>
  </si>
  <si>
    <t>SharePoint</t>
  </si>
  <si>
    <t>SharePoint Administration</t>
  </si>
  <si>
    <t>SharePoint Development</t>
  </si>
  <si>
    <t>SharePoint Hybrid Design and Implementation</t>
  </si>
  <si>
    <t>SharePoint Online Administration and Governance</t>
  </si>
  <si>
    <t>SharePoint Online Custom Development</t>
  </si>
  <si>
    <t>SharePoint Online Design and Implementation</t>
  </si>
  <si>
    <t>SharePoint Online Modern Experiences</t>
  </si>
  <si>
    <t>SharePoint On-Premises Design and Implementation</t>
  </si>
  <si>
    <t>SharePoint On-Premises to Online Migration</t>
  </si>
  <si>
    <t>SharePoint Search Design and Implementation</t>
  </si>
  <si>
    <t>SharePoint Server</t>
  </si>
  <si>
    <t>SharePoint Syntex</t>
  </si>
  <si>
    <t>SharePoint Tenant-to-Tenant (T2T) Migration</t>
  </si>
  <si>
    <t>Simulation</t>
  </si>
  <si>
    <t>Single Sign-On (SSO)</t>
  </si>
  <si>
    <t>Situational Fluency</t>
  </si>
  <si>
    <t>Six Sigma</t>
  </si>
  <si>
    <t>Skype for Business Design and Implementation</t>
  </si>
  <si>
    <t>Skype for Business Development</t>
  </si>
  <si>
    <t>Skype for Business Server</t>
  </si>
  <si>
    <t>Skype for Business to Teams Migration</t>
  </si>
  <si>
    <t>Skype for Business with Voice Design and Implementations</t>
  </si>
  <si>
    <t>SOAP UI</t>
  </si>
  <si>
    <t>Software Defined Datacenter</t>
  </si>
  <si>
    <t>Software Engineering</t>
  </si>
  <si>
    <t>Solution Demonstration</t>
  </si>
  <si>
    <t>Solution Play Expertise</t>
  </si>
  <si>
    <t>Speaker Verification Password Reset</t>
  </si>
  <si>
    <t>Speech Secure 3.1</t>
  </si>
  <si>
    <t>SpeechWorks Media Server (SWMS/MRCP) 3.0</t>
  </si>
  <si>
    <t>Speechworks Voice Framework (SVF)</t>
  </si>
  <si>
    <t>Spring</t>
  </si>
  <si>
    <t>Spring Boot</t>
  </si>
  <si>
    <t>SQL Clustering</t>
  </si>
  <si>
    <t>SQL Server Integrated Services (SSIS)</t>
  </si>
  <si>
    <t>SQL Server on Virtual Machines</t>
  </si>
  <si>
    <t>SQL Server On-Premise</t>
  </si>
  <si>
    <t>SQL Server Queries and Stored Procedures</t>
  </si>
  <si>
    <t>SSL Certificates</t>
  </si>
  <si>
    <t>Stakeholder Management</t>
  </si>
  <si>
    <t>Stakeholder Mapping</t>
  </si>
  <si>
    <t>Stateless Device Design and Implementation</t>
  </si>
  <si>
    <t>Statistical modeling</t>
  </si>
  <si>
    <t>Storage configuration</t>
  </si>
  <si>
    <t>Storytelling</t>
  </si>
  <si>
    <t>Strategic Communication</t>
  </si>
  <si>
    <t>Strategic Partnership</t>
  </si>
  <si>
    <t>Strategic questioning</t>
  </si>
  <si>
    <t>Strategic Thinking</t>
  </si>
  <si>
    <t>StresStimulus</t>
  </si>
  <si>
    <t>Structure AI Services to deliver business outcomes</t>
  </si>
  <si>
    <t>Structure Data &amp; AI Services</t>
  </si>
  <si>
    <t>Subversion</t>
  </si>
  <si>
    <t>Supply Chain Analytics</t>
  </si>
  <si>
    <t>Support Sales GTMs</t>
  </si>
  <si>
    <t>Sure Step 365 LED Agile</t>
  </si>
  <si>
    <t>Sure Step 365 LED Iterative</t>
  </si>
  <si>
    <t>SureStep 365</t>
  </si>
  <si>
    <t>Surface</t>
  </si>
  <si>
    <t>Sustainability</t>
  </si>
  <si>
    <t>Sybase</t>
  </si>
  <si>
    <t>System Center Data Protection Manager (DPM)</t>
  </si>
  <si>
    <t>System Center Endpoint Protection</t>
  </si>
  <si>
    <t>System Center Operations Manager (SCOM)</t>
  </si>
  <si>
    <t>System Center Orchestrator (SCORCH)</t>
  </si>
  <si>
    <t>System Center Service Manager (SCSM)</t>
  </si>
  <si>
    <t>System Center Virtual Machine Manager (SCVMM)</t>
  </si>
  <si>
    <t>Tableau</t>
  </si>
  <si>
    <t>Target Operating Model Adoption and Communities</t>
  </si>
  <si>
    <t>Target Operating Model Strategy and Enablement</t>
  </si>
  <si>
    <t>Task Analysis</t>
  </si>
  <si>
    <t>TCP/IP Networking Program</t>
  </si>
  <si>
    <t>Team Building</t>
  </si>
  <si>
    <t>Team Data Science Process</t>
  </si>
  <si>
    <t>Team Organization</t>
  </si>
  <si>
    <t>Teams Administration and Governance</t>
  </si>
  <si>
    <t>Teams App Deployment and Management</t>
  </si>
  <si>
    <t>Teams App Development</t>
  </si>
  <si>
    <t>Teams Design and Implementation</t>
  </si>
  <si>
    <t>Teams Enterprise Voice</t>
  </si>
  <si>
    <t>Teams Media Health and Networking</t>
  </si>
  <si>
    <t>Teams Meetings and Live Events</t>
  </si>
  <si>
    <t>Teams Phone Calling Plans</t>
  </si>
  <si>
    <t>Teams Phone Devices</t>
  </si>
  <si>
    <t>Teams Phone Direct Routing</t>
  </si>
  <si>
    <t>Teams Phone Operator Connect</t>
  </si>
  <si>
    <t>Teams Phone System Foundation</t>
  </si>
  <si>
    <t>Teams Rooms</t>
  </si>
  <si>
    <t>Teams tenant to tenant Migration</t>
  </si>
  <si>
    <t>Teams with Voice Design and Implementation</t>
  </si>
  <si>
    <t>Technical Assessment</t>
  </si>
  <si>
    <t>Technical Automation and Orchestration</t>
  </si>
  <si>
    <t>Technical Communication</t>
  </si>
  <si>
    <t>Technical Data Engineering</t>
  </si>
  <si>
    <t>Technical Demonstrations</t>
  </si>
  <si>
    <t>Technical Infrastructure Design</t>
  </si>
  <si>
    <t>Technical Quality Assurance (TQA)</t>
  </si>
  <si>
    <t>Technical Solution Architecture</t>
  </si>
  <si>
    <t>Technical Test Planning and Execution</t>
  </si>
  <si>
    <t>Technology Architecture</t>
  </si>
  <si>
    <t>Technology Roadmapping</t>
  </si>
  <si>
    <t>Telecommunication Analytics</t>
  </si>
  <si>
    <t>Telecommunication Design and Deployment</t>
  </si>
  <si>
    <t>Telematics</t>
  </si>
  <si>
    <t>Terraform</t>
  </si>
  <si>
    <t>Territory Planning</t>
  </si>
  <si>
    <t>Test Automation and tooling</t>
  </si>
  <si>
    <t>Thought Leadership</t>
  </si>
  <si>
    <t>Threat Analysis</t>
  </si>
  <si>
    <t>Threat Management</t>
  </si>
  <si>
    <t>Threat Management Gateway (TMG)</t>
  </si>
  <si>
    <t>Threat Modelling</t>
  </si>
  <si>
    <t>Trade-off decisions</t>
  </si>
  <si>
    <t>Traditional Windows Deployment Design and Implementation</t>
  </si>
  <si>
    <t>Transportation Analytics</t>
  </si>
  <si>
    <t>Tuning/Optimization</t>
  </si>
  <si>
    <t>Typescript</t>
  </si>
  <si>
    <t>UiPath</t>
  </si>
  <si>
    <t>Understand your stakeholders</t>
  </si>
  <si>
    <t>Unified Modelling Language</t>
  </si>
  <si>
    <t>Unreal Engine</t>
  </si>
  <si>
    <t>Usability testing</t>
  </si>
  <si>
    <t>User story backlog decisions</t>
  </si>
  <si>
    <t>UX - User Experience</t>
  </si>
  <si>
    <t>UX .Net Client Development</t>
  </si>
  <si>
    <t>UX Architecture Patterns and Frameworks</t>
  </si>
  <si>
    <t>UX Azure Client-related Services Front end Development</t>
  </si>
  <si>
    <t>UX Cross-platform UI Development</t>
  </si>
  <si>
    <t>UX Design</t>
  </si>
  <si>
    <t>UX Discovery</t>
  </si>
  <si>
    <t>UX Discovery Focused Interviewing</t>
  </si>
  <si>
    <t>UX Discovery Persona and Scenario Creation</t>
  </si>
  <si>
    <t>UX Discovery User Journeys and Journey Mapping</t>
  </si>
  <si>
    <t>UX Discovery User Research</t>
  </si>
  <si>
    <t>UX Interaction Design Low-Fidelity Prototyping</t>
  </si>
  <si>
    <t>UX Interaction Wireframes Design</t>
  </si>
  <si>
    <t>UX Mobile App Development</t>
  </si>
  <si>
    <t>UX Natural User Interface (NUI) Design</t>
  </si>
  <si>
    <t>UX Prototyping in Unity 3D / Unity C# Scripting</t>
  </si>
  <si>
    <t>UX Requirements</t>
  </si>
  <si>
    <t>UX SharePoint Branding Development</t>
  </si>
  <si>
    <t>UX Visual Accesibility Design</t>
  </si>
  <si>
    <t>UX Visual Branding Design</t>
  </si>
  <si>
    <t>UX Visual Design</t>
  </si>
  <si>
    <t>UX Visual Design Style Guide Creation</t>
  </si>
  <si>
    <t>UX Visual Design Visualization</t>
  </si>
  <si>
    <t>UX Web Front-end Development</t>
  </si>
  <si>
    <t>Verifier 4.x</t>
  </si>
  <si>
    <t>Viecore Framework</t>
  </si>
  <si>
    <t>Virtual Machine Deployment and Customization</t>
  </si>
  <si>
    <t>Virtual Reality (VR)</t>
  </si>
  <si>
    <t>Virtualization</t>
  </si>
  <si>
    <t>Visual COBOL</t>
  </si>
  <si>
    <t>Visual Studio</t>
  </si>
  <si>
    <t>Viva Connections</t>
  </si>
  <si>
    <t>Viva Engage</t>
  </si>
  <si>
    <t>Viva Extensibility and APIs</t>
  </si>
  <si>
    <t>Viva Goals</t>
  </si>
  <si>
    <t>Viva Insights</t>
  </si>
  <si>
    <t>Viva Learning</t>
  </si>
  <si>
    <t>Viva Topics</t>
  </si>
  <si>
    <t>Vocal Password</t>
  </si>
  <si>
    <t>Vocalizer (TTS polishing)</t>
  </si>
  <si>
    <t>Vocalizer 5.x</t>
  </si>
  <si>
    <t>Vocalizer 6.x</t>
  </si>
  <si>
    <t>Vocalizer Studio</t>
  </si>
  <si>
    <t>Voice Biometrics</t>
  </si>
  <si>
    <t>Voice of the Customer (VOC) Analytics (aka CallMiner)</t>
  </si>
  <si>
    <t>Voice User Interface Design</t>
  </si>
  <si>
    <t>VoiceGenie VG</t>
  </si>
  <si>
    <t>VoiceXML</t>
  </si>
  <si>
    <t>Voxeo Prophecy</t>
  </si>
  <si>
    <t>VPN Gateway</t>
  </si>
  <si>
    <t>Vsuite development</t>
  </si>
  <si>
    <t>Waterfall Project Management (based on PMP)</t>
  </si>
  <si>
    <t>Web App Development and Hosting</t>
  </si>
  <si>
    <t>Web Development</t>
  </si>
  <si>
    <t>Webhooks</t>
  </si>
  <si>
    <t>WebSDK (NDEP)</t>
  </si>
  <si>
    <t>Well Architected Framework (WAF)</t>
  </si>
  <si>
    <t>Windows 10/11</t>
  </si>
  <si>
    <t>Windows 11</t>
  </si>
  <si>
    <t>Windows administration</t>
  </si>
  <si>
    <t>Windows Application Remediation Design and Implementation</t>
  </si>
  <si>
    <t>Windows AppLocker Design and Implementation</t>
  </si>
  <si>
    <t>Windows as a Service (WaaS)</t>
  </si>
  <si>
    <t>Windows Autopilot Design and Implementation</t>
  </si>
  <si>
    <t>Windows Client</t>
  </si>
  <si>
    <t>Windows Client (Pre-Windows 11)</t>
  </si>
  <si>
    <t>Windows Client Security</t>
  </si>
  <si>
    <t>Windows Copilot</t>
  </si>
  <si>
    <t>Windows Defender</t>
  </si>
  <si>
    <t>Windows Defender Application Control Design and Implementation</t>
  </si>
  <si>
    <t>Windows Defender Solutions Design and Implementation</t>
  </si>
  <si>
    <t>Windows Deployment</t>
  </si>
  <si>
    <t>Windows Hello for Business</t>
  </si>
  <si>
    <t>Windows Hello for Business Design and Implementation</t>
  </si>
  <si>
    <t>Windows Information Protection</t>
  </si>
  <si>
    <t>Windows Information Protection (WIP) Design and Implementation</t>
  </si>
  <si>
    <t>Windows Server</t>
  </si>
  <si>
    <t>Windows Server Failover Clustering</t>
  </si>
  <si>
    <t>Windows Server File Services</t>
  </si>
  <si>
    <t>Windows Server Security</t>
  </si>
  <si>
    <t>Windows Server Update Services (WSUS)</t>
  </si>
  <si>
    <t>Windows Servicing Design and Implementation</t>
  </si>
  <si>
    <t>Windows Update for Business</t>
  </si>
  <si>
    <t>Windows Virtual Desktop (WVD) Design and Implementation</t>
  </si>
  <si>
    <t>WireMock</t>
  </si>
  <si>
    <t>Wireshark (formally Ethereal)</t>
  </si>
  <si>
    <t>Workshop planning and facilitation</t>
  </si>
  <si>
    <t>WOZ testing</t>
  </si>
  <si>
    <t>X++ Coding​</t>
  </si>
  <si>
    <t>Xamarin Products</t>
  </si>
  <si>
    <t>xCode</t>
  </si>
  <si>
    <t>XHTML+VoiceXML (X+V)</t>
  </si>
  <si>
    <t>XML</t>
  </si>
  <si>
    <t>YAML Ain't Markup Language (YAML)</t>
  </si>
  <si>
    <t>Yammer</t>
  </si>
  <si>
    <t>Yammer Design and Implementation</t>
  </si>
  <si>
    <t>Yammer Development</t>
  </si>
  <si>
    <t>Zenoss</t>
  </si>
  <si>
    <t>Zero Trust Framework​</t>
  </si>
  <si>
    <t>Zero Trust Security Narrative</t>
  </si>
  <si>
    <t>Cost</t>
  </si>
  <si>
    <t>List</t>
  </si>
  <si>
    <t>TMZ</t>
  </si>
  <si>
    <t>Area</t>
  </si>
  <si>
    <t>Practice</t>
  </si>
  <si>
    <t>Consultant</t>
  </si>
  <si>
    <t>Americas</t>
  </si>
  <si>
    <t>United States</t>
  </si>
  <si>
    <t>Commercial Sector</t>
  </si>
  <si>
    <t>Consulting Product Manager</t>
  </si>
  <si>
    <t>GD Onsite</t>
  </si>
  <si>
    <t>GitHub Services Delivery</t>
  </si>
  <si>
    <t>GitHub Services PMO</t>
  </si>
  <si>
    <t>Partner SE</t>
  </si>
  <si>
    <t>Principal SE (IC)</t>
  </si>
  <si>
    <t>Principal SE (Lead)</t>
  </si>
  <si>
    <t>Program Director</t>
  </si>
  <si>
    <t>Senior Consulting Product Manager</t>
  </si>
  <si>
    <t>Software Engineer (IC)</t>
  </si>
  <si>
    <t>Principal Technical Program Manager</t>
  </si>
  <si>
    <t>Technical Program Manager</t>
  </si>
  <si>
    <t>LaborCategory</t>
  </si>
  <si>
    <t>Governance</t>
  </si>
  <si>
    <t>ASCM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</si>
</sst>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8" formatCode="&quot;$&quot;#,##0.00_);[Red]\(&quot;$&quot;#,##0.00\)"/>
    <numFmt numFmtId="44" formatCode="_(&quot;$&quot;* #,##0.00_);_(&quot;$&quot;* \(#,##0.00\);_(&quot;$&quot;* &quot;-&quot;??_);_(@_)"/>
    <numFmt numFmtId="164" formatCode="&quot;$&quot;#,##0"/>
    <numFmt numFmtId="165" formatCode="&quot;$&quot;#,##0.00"/>
    <numFmt numFmtId="166" formatCode="0.0000%"/>
    <numFmt numFmtId="167" formatCode="#,##0;\(#,##0\);&quot;-&quot;"/>
    <numFmt numFmtId="168" formatCode="&quot;$&quot;#,##0.00;\(&quot;$&quot;#,##0.00\);&quot;-&quot;"/>
    <numFmt numFmtId="169" formatCode="&quot;$&quot;#,##0;\(&quot;$&quot;#,##0\);&quot;-&quot;"/>
    <numFmt numFmtId="170" formatCode="0.0%;\(0.0%\);&quot;-&quot;"/>
    <numFmt numFmtId="171" formatCode="&quot;$&quot;#,##0.0000;\(&quot;$&quot;#,##0.0000\);&quot;-&quot;"/>
  </numFmts>
  <fonts count="40">
    <font>
      <sz val="11"/>
      <color theme="1"/>
      <name val="Calibri"/>
      <family val="2"/>
      <scheme val="minor"/>
    </font>
    <font>
      <sz val="11"/>
      <color theme="1"/>
      <name val="Calibri"/>
      <family val="2"/>
      <scheme val="minor"/>
    </font>
    <font>
      <b/>
      <sz val="10"/>
      <color theme="0"/>
      <name val="Segoe UI"/>
      <family val="2"/>
    </font>
    <font>
      <b/>
      <sz val="10"/>
      <color rgb="FF000000"/>
      <name val="Segoe UI"/>
      <family val="2"/>
    </font>
    <font>
      <sz val="10"/>
      <color theme="1"/>
      <name val="Segoe UI"/>
      <family val="2"/>
    </font>
    <font>
      <sz val="10"/>
      <color rgb="FF000000"/>
      <name val="Segoe UI"/>
      <family val="2"/>
    </font>
    <font>
      <sz val="10"/>
      <name val="Segoe UI"/>
      <family val="2"/>
    </font>
    <font>
      <b/>
      <sz val="10"/>
      <color theme="1"/>
      <name val="Segoe UI"/>
      <family val="2"/>
    </font>
    <font>
      <b/>
      <sz val="10"/>
      <name val="Segoe UI"/>
      <family val="2"/>
    </font>
    <font>
      <i/>
      <sz val="10"/>
      <color theme="1"/>
      <name val="Segoe UI"/>
      <family val="2"/>
    </font>
    <font>
      <sz val="11"/>
      <color rgb="FF3F3F76"/>
      <name val="Calibri"/>
      <family val="2"/>
      <scheme val="minor"/>
    </font>
    <font>
      <b/>
      <sz val="11"/>
      <color rgb="FF3F3F3F"/>
      <name val="Calibri"/>
      <family val="2"/>
      <scheme val="minor"/>
    </font>
    <font>
      <b/>
      <sz val="11"/>
      <color theme="1"/>
      <name val="Calibri"/>
      <family val="2"/>
      <scheme val="minor"/>
    </font>
    <font>
      <sz val="10"/>
      <name val="Calibri"/>
      <family val="2"/>
      <scheme val="minor"/>
    </font>
    <font>
      <sz val="11"/>
      <name val="Aptos Narrow"/>
      <family val="2"/>
    </font>
    <font>
      <sz val="8"/>
      <name val="Calibri"/>
      <family val="2"/>
      <scheme val="minor"/>
    </font>
    <font>
      <sz val="11"/>
      <color rgb="FF3F3F3F"/>
      <name val="Calibri"/>
      <family val="2"/>
      <scheme val="minor"/>
    </font>
    <font>
      <b/>
      <i/>
      <sz val="10"/>
      <color rgb="FF000000"/>
      <name val="Segoe UI"/>
      <family val="2"/>
    </font>
    <font>
      <b/>
      <sz val="12"/>
      <color theme="1"/>
      <name val="Calibri"/>
      <family val="2"/>
      <scheme val="minor"/>
    </font>
    <font>
      <sz val="20"/>
      <color rgb="FF000000"/>
      <name val="Aptos Narrow"/>
      <family val="2"/>
    </font>
    <font>
      <sz val="9"/>
      <color indexed="81"/>
      <name val="Tahoma"/>
      <family val="2"/>
    </font>
    <font>
      <b/>
      <sz val="10"/>
      <color theme="1"/>
      <name val="Segoe UI "/>
    </font>
    <font>
      <b/>
      <sz val="9"/>
      <color indexed="81"/>
      <name val="Tahoma"/>
      <family val="2"/>
    </font>
    <font>
      <sz val="20"/>
      <color theme="1"/>
      <name val="Calibri"/>
      <family val="2"/>
      <scheme val="minor"/>
    </font>
    <font>
      <b/>
      <u/>
      <sz val="11"/>
      <color theme="10"/>
      <name val="Calibri"/>
      <family val="2"/>
      <scheme val="minor"/>
    </font>
    <font>
      <u/>
      <sz val="11"/>
      <color theme="10"/>
      <name val="Calibri"/>
      <family val="2"/>
      <scheme val="minor"/>
    </font>
    <font>
      <sz val="11"/>
      <color rgb="FF000000"/>
      <name val="Aptos"/>
      <family val="2"/>
    </font>
    <font>
      <i/>
      <sz val="11"/>
      <color rgb="FF000000"/>
      <name val="Aptos"/>
      <family val="2"/>
    </font>
    <font>
      <sz val="10"/>
      <color rgb="FF000000"/>
      <name val="Consolas"/>
      <family val="3"/>
    </font>
    <font>
      <sz val="10"/>
      <color theme="1"/>
      <name val="Segoe UI"/>
      <family val="2"/>
    </font>
    <font>
      <b/>
      <sz val="10"/>
      <color theme="0"/>
      <name val="Segoe UI"/>
      <family val="2"/>
    </font>
    <font>
      <b/>
      <sz val="16"/>
      <color rgb="FFFFFFFF"/>
      <name val="Arial"/>
      <family val="2"/>
    </font>
    <font>
      <b/>
      <sz val="11"/>
      <name val="Arial"/>
      <family val="2"/>
    </font>
    <font>
      <sz val="10"/>
      <color rgb="FF008000"/>
      <name val="Arial"/>
      <family val="2"/>
    </font>
    <font>
      <b/>
      <sz val="10"/>
      <name val="Arial"/>
      <family val="2"/>
    </font>
    <font>
      <sz val="10"/>
      <color rgb="FF000000"/>
      <name val="Arial"/>
      <family val="2"/>
    </font>
    <font>
      <b/>
      <sz val="12"/>
      <color rgb="FFFFFFFF"/>
      <name val="Arial"/>
      <family val="2"/>
    </font>
    <font>
      <b/>
      <sz val="10"/>
      <color rgb="FF0000FF"/>
      <name val="Arial"/>
      <family val="2"/>
    </font>
    <font>
      <sz val="10"/>
      <name val="Arial"/>
      <family val="2"/>
    </font>
    <font>
      <sz val="11"/>
      <color rgb="FFFF0000"/>
      <name val="Calibri"/>
      <family val="2"/>
      <scheme val="minor"/>
    </font>
  </fonts>
  <fills count="22">
    <fill>
      <patternFill patternType="none"/>
    </fill>
    <fill>
      <patternFill patternType="gray125"/>
    </fill>
    <fill>
      <patternFill patternType="solid">
        <fgColor theme="9" tint="0.79998168889431442"/>
        <bgColor indexed="64"/>
      </patternFill>
    </fill>
    <fill>
      <patternFill patternType="solid">
        <fgColor rgb="FFFFC000"/>
        <bgColor indexed="64"/>
      </patternFill>
    </fill>
    <fill>
      <patternFill patternType="solid">
        <fgColor rgb="FF00B0F0"/>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rgb="FF92D050"/>
        <bgColor indexed="64"/>
      </patternFill>
    </fill>
    <fill>
      <patternFill patternType="solid">
        <fgColor rgb="FFFFCC99"/>
      </patternFill>
    </fill>
    <fill>
      <patternFill patternType="solid">
        <fgColor rgb="FFF2F2F2"/>
      </patternFill>
    </fill>
    <fill>
      <patternFill patternType="solid">
        <fgColor theme="5" tint="0.39997558519241921"/>
        <bgColor indexed="65"/>
      </patternFill>
    </fill>
    <fill>
      <patternFill patternType="solid">
        <fgColor rgb="FFB4C6E7"/>
        <bgColor indexed="64"/>
      </patternFill>
    </fill>
    <fill>
      <patternFill patternType="solid">
        <fgColor rgb="FFF4B084"/>
        <bgColor indexed="64"/>
      </patternFill>
    </fill>
    <fill>
      <patternFill patternType="solid">
        <fgColor rgb="FFA9D08E"/>
        <bgColor indexed="64"/>
      </patternFill>
    </fill>
    <fill>
      <patternFill patternType="solid">
        <fgColor rgb="FFFFFFCC"/>
      </patternFill>
    </fill>
    <fill>
      <patternFill patternType="solid">
        <fgColor rgb="FFF2F2F2"/>
        <bgColor indexed="64"/>
      </patternFill>
    </fill>
    <fill>
      <patternFill patternType="solid">
        <fgColor rgb="FFFFFF00"/>
        <bgColor indexed="64"/>
      </patternFill>
    </fill>
    <fill>
      <patternFill patternType="solid">
        <fgColor rgb="FF1E2761"/>
      </patternFill>
    </fill>
    <fill>
      <patternFill patternType="solid">
        <fgColor rgb="FFCADCFC"/>
      </patternFill>
    </fill>
    <fill>
      <patternFill patternType="solid">
        <fgColor rgb="FFD5E8F0"/>
      </patternFill>
    </fill>
    <fill>
      <patternFill patternType="solid">
        <fgColor rgb="FFFFF9C4"/>
      </patternFill>
    </fill>
  </fills>
  <borders count="35">
    <border>
      <left/>
      <right/>
      <top/>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rgb="FF000000"/>
      </top>
      <bottom style="thin">
        <color rgb="FF000000"/>
      </bottom>
      <diagonal/>
    </border>
    <border>
      <left/>
      <right/>
      <top style="thin">
        <color rgb="FF000000"/>
      </top>
      <bottom/>
      <diagonal/>
    </border>
    <border>
      <left/>
      <right style="medium">
        <color indexed="64"/>
      </right>
      <top style="thin">
        <color rgb="FF000000"/>
      </top>
      <bottom style="thin">
        <color rgb="FF000000"/>
      </bottom>
      <diagonal/>
    </border>
    <border>
      <left style="thin">
        <color rgb="FF3F3F3F"/>
      </left>
      <right style="medium">
        <color indexed="64"/>
      </right>
      <top style="thin">
        <color rgb="FF3F3F3F"/>
      </top>
      <bottom style="thin">
        <color rgb="FF3F3F3F"/>
      </bottom>
      <diagonal/>
    </border>
    <border>
      <left/>
      <right style="medium">
        <color indexed="64"/>
      </right>
      <top style="thin">
        <color rgb="FF000000"/>
      </top>
      <bottom/>
      <diagonal/>
    </border>
    <border>
      <left/>
      <right style="medium">
        <color indexed="64"/>
      </right>
      <top/>
      <bottom/>
      <diagonal/>
    </border>
    <border>
      <left/>
      <right style="thin">
        <color rgb="FF7F7F7F"/>
      </right>
      <top style="thin">
        <color rgb="FF7F7F7F"/>
      </top>
      <bottom style="thin">
        <color rgb="FF7F7F7F"/>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style="thin">
        <color indexed="64"/>
      </top>
      <bottom style="thin">
        <color rgb="FF3F3F3F"/>
      </bottom>
      <diagonal/>
    </border>
    <border>
      <left style="thin">
        <color indexed="64"/>
      </left>
      <right style="thin">
        <color indexed="64"/>
      </right>
      <top style="thin">
        <color rgb="FF3F3F3F"/>
      </top>
      <bottom style="thin">
        <color rgb="FF3F3F3F"/>
      </bottom>
      <diagonal/>
    </border>
    <border>
      <left style="thin">
        <color indexed="64"/>
      </left>
      <right style="thin">
        <color indexed="64"/>
      </right>
      <top style="thin">
        <color rgb="FF3F3F3F"/>
      </top>
      <bottom style="thin">
        <color indexed="64"/>
      </bottom>
      <diagonal/>
    </border>
    <border>
      <left style="thin">
        <color rgb="FFB2B2B2"/>
      </left>
      <right style="thin">
        <color rgb="FFB2B2B2"/>
      </right>
      <top style="thin">
        <color rgb="FFB2B2B2"/>
      </top>
      <bottom style="thin">
        <color rgb="FFB2B2B2"/>
      </bottom>
      <diagonal/>
    </border>
    <border>
      <left style="thin">
        <color rgb="FF7F7F7F"/>
      </left>
      <right/>
      <top/>
      <bottom/>
      <diagonal/>
    </border>
    <border>
      <left/>
      <right/>
      <top style="thin">
        <color indexed="64"/>
      </top>
      <bottom style="thin">
        <color indexed="64"/>
      </bottom>
      <diagonal/>
    </border>
    <border>
      <left style="thin">
        <color rgb="FF7F7F7F"/>
      </left>
      <right/>
      <top style="thin">
        <color rgb="FF7F7F7F"/>
      </top>
      <bottom style="thin">
        <color rgb="FF7F7F7F"/>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000000"/>
      </left>
      <right style="medium">
        <color indexed="64"/>
      </right>
      <top/>
      <bottom/>
      <diagonal/>
    </border>
    <border>
      <left style="thin">
        <color rgb="FF7F7F7F"/>
      </left>
      <right style="thin">
        <color rgb="FF7F7F7F"/>
      </right>
      <top style="thin">
        <color rgb="FF7F7F7F"/>
      </top>
      <bottom/>
      <diagonal/>
    </border>
    <border>
      <left style="thin">
        <color rgb="FF3F3F3F"/>
      </left>
      <right style="thin">
        <color rgb="FF3F3F3F"/>
      </right>
      <top style="thin">
        <color rgb="FF3F3F3F"/>
      </top>
      <bottom/>
      <diagonal/>
    </border>
    <border>
      <left style="thin">
        <color rgb="FF3F3F3F"/>
      </left>
      <right style="medium">
        <color indexed="64"/>
      </right>
      <top style="thin">
        <color rgb="FF3F3F3F"/>
      </top>
      <bottom/>
      <diagonal/>
    </border>
    <border>
      <left/>
      <right style="thin">
        <color rgb="FF7F7F7F"/>
      </right>
      <top style="thin">
        <color rgb="FF7F7F7F"/>
      </top>
      <bottom/>
      <diagonal/>
    </border>
    <border>
      <left style="thin">
        <color rgb="FF7F7F7F"/>
      </left>
      <right/>
      <top style="thin">
        <color rgb="FF7F7F7F"/>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BFBFBF"/>
      </left>
      <right style="thin">
        <color rgb="FFBFBFBF"/>
      </right>
      <top style="thin">
        <color rgb="FFBFBFBF"/>
      </top>
      <bottom style="thin">
        <color rgb="FFBFBFBF"/>
      </bottom>
      <diagonal/>
    </border>
  </borders>
  <cellStyleXfs count="9">
    <xf numFmtId="0" fontId="0" fillId="0" borderId="0"/>
    <xf numFmtId="44" fontId="1" fillId="0" borderId="0" applyFont="0" applyFill="0" applyBorder="0" applyAlignment="0" applyProtection="0"/>
    <xf numFmtId="9" fontId="1" fillId="0" borderId="0" applyFont="0" applyFill="0" applyBorder="0" applyAlignment="0" applyProtection="0"/>
    <xf numFmtId="0" fontId="10" fillId="9" borderId="3" applyNumberFormat="0" applyAlignment="0" applyProtection="0"/>
    <xf numFmtId="0" fontId="11" fillId="10" borderId="4" applyNumberFormat="0" applyAlignment="0" applyProtection="0"/>
    <xf numFmtId="0" fontId="1" fillId="11" borderId="0" applyNumberFormat="0" applyBorder="0" applyAlignment="0" applyProtection="0"/>
    <xf numFmtId="0" fontId="14" fillId="0" borderId="0"/>
    <xf numFmtId="0" fontId="1" fillId="15" borderId="19" applyNumberFormat="0" applyFont="0" applyAlignment="0" applyProtection="0"/>
    <xf numFmtId="0" fontId="25" fillId="0" borderId="0" applyNumberFormat="0" applyFill="0" applyBorder="0" applyAlignment="0" applyProtection="0"/>
  </cellStyleXfs>
  <cellXfs count="184">
    <xf numFmtId="0" fontId="0" fillId="0" borderId="0" xfId="0"/>
    <xf numFmtId="0" fontId="2" fillId="0" borderId="0" xfId="0" applyFont="1" applyAlignment="1">
      <alignment horizontal="center"/>
    </xf>
    <xf numFmtId="0" fontId="4" fillId="0" borderId="0" xfId="0" applyFont="1" applyAlignment="1">
      <alignment horizontal="center"/>
    </xf>
    <xf numFmtId="0" fontId="4" fillId="0" borderId="0" xfId="0" applyFont="1"/>
    <xf numFmtId="0" fontId="3" fillId="0" borderId="0" xfId="0" applyFont="1" applyAlignment="1">
      <alignment horizontal="center"/>
    </xf>
    <xf numFmtId="44" fontId="3" fillId="0" borderId="0" xfId="0" applyNumberFormat="1" applyFont="1" applyAlignment="1">
      <alignment horizontal="center"/>
    </xf>
    <xf numFmtId="0" fontId="5" fillId="0" borderId="0" xfId="0" applyFont="1" applyAlignment="1">
      <alignment horizontal="center"/>
    </xf>
    <xf numFmtId="0" fontId="7" fillId="0" borderId="0" xfId="0" applyFont="1"/>
    <xf numFmtId="0" fontId="3" fillId="0" borderId="0" xfId="0" applyFont="1" applyAlignment="1">
      <alignment horizontal="left" vertical="center" wrapText="1"/>
    </xf>
    <xf numFmtId="0" fontId="3" fillId="0" borderId="0" xfId="0" applyFont="1"/>
    <xf numFmtId="8" fontId="3" fillId="0" borderId="0" xfId="0" applyNumberFormat="1" applyFont="1" applyAlignment="1">
      <alignment horizontal="right"/>
    </xf>
    <xf numFmtId="0" fontId="13" fillId="0" borderId="0" xfId="0" applyFont="1"/>
    <xf numFmtId="164" fontId="13" fillId="0" borderId="0" xfId="0" applyNumberFormat="1" applyFont="1"/>
    <xf numFmtId="1" fontId="13" fillId="0" borderId="0" xfId="0" applyNumberFormat="1" applyFont="1"/>
    <xf numFmtId="0" fontId="12" fillId="0" borderId="0" xfId="0" applyFont="1"/>
    <xf numFmtId="0" fontId="3" fillId="5" borderId="0" xfId="0" applyFont="1" applyFill="1" applyAlignment="1">
      <alignment horizontal="right"/>
    </xf>
    <xf numFmtId="0" fontId="3" fillId="5" borderId="0" xfId="0" applyFont="1" applyFill="1"/>
    <xf numFmtId="0" fontId="9" fillId="5" borderId="0" xfId="0" applyFont="1" applyFill="1" applyAlignment="1">
      <alignment horizontal="right"/>
    </xf>
    <xf numFmtId="8" fontId="4" fillId="5" borderId="0" xfId="0" applyNumberFormat="1" applyFont="1" applyFill="1" applyAlignment="1">
      <alignment horizontal="left"/>
    </xf>
    <xf numFmtId="0" fontId="3" fillId="2" borderId="5" xfId="0" applyFont="1" applyFill="1" applyBorder="1" applyAlignment="1">
      <alignment vertical="center" wrapText="1"/>
    </xf>
    <xf numFmtId="0" fontId="3" fillId="2" borderId="2" xfId="0" applyFont="1" applyFill="1" applyBorder="1" applyAlignment="1">
      <alignment vertical="center" wrapText="1"/>
    </xf>
    <xf numFmtId="0" fontId="8" fillId="6" borderId="6" xfId="0" applyFont="1" applyFill="1" applyBorder="1" applyAlignment="1">
      <alignment vertical="center" wrapText="1"/>
    </xf>
    <xf numFmtId="0" fontId="1" fillId="11" borderId="0" xfId="5" applyBorder="1" applyAlignment="1"/>
    <xf numFmtId="0" fontId="10" fillId="9" borderId="3" xfId="3" applyAlignment="1">
      <alignment vertical="center" wrapText="1"/>
    </xf>
    <xf numFmtId="0" fontId="10" fillId="9" borderId="3" xfId="3"/>
    <xf numFmtId="44" fontId="10" fillId="9" borderId="1" xfId="1" applyFont="1" applyFill="1" applyBorder="1" applyAlignment="1">
      <alignment horizontal="center" vertical="center" wrapText="1"/>
    </xf>
    <xf numFmtId="0" fontId="14" fillId="0" borderId="0" xfId="6"/>
    <xf numFmtId="2" fontId="3" fillId="0" borderId="0" xfId="2" applyNumberFormat="1" applyFont="1" applyAlignment="1">
      <alignment horizontal="center"/>
    </xf>
    <xf numFmtId="10" fontId="3" fillId="2" borderId="5" xfId="0" applyNumberFormat="1" applyFont="1" applyFill="1" applyBorder="1" applyAlignment="1">
      <alignment vertical="center" wrapText="1"/>
    </xf>
    <xf numFmtId="9" fontId="10" fillId="9" borderId="3" xfId="2" applyFont="1" applyFill="1" applyBorder="1" applyAlignment="1">
      <alignment vertical="center" wrapText="1"/>
    </xf>
    <xf numFmtId="0" fontId="11" fillId="10" borderId="4" xfId="4"/>
    <xf numFmtId="0" fontId="16" fillId="10" borderId="4" xfId="4" applyFont="1"/>
    <xf numFmtId="0" fontId="17" fillId="0" borderId="0" xfId="0" applyFont="1" applyAlignment="1">
      <alignment horizontal="right"/>
    </xf>
    <xf numFmtId="14" fontId="10" fillId="9" borderId="3" xfId="3" applyNumberFormat="1" applyAlignment="1">
      <alignment vertical="center" wrapText="1"/>
    </xf>
    <xf numFmtId="0" fontId="0" fillId="0" borderId="0" xfId="0" applyAlignment="1">
      <alignment horizontal="center"/>
    </xf>
    <xf numFmtId="0" fontId="12" fillId="0" borderId="0" xfId="0" applyFont="1" applyAlignment="1">
      <alignment horizontal="center"/>
    </xf>
    <xf numFmtId="0" fontId="0" fillId="0" borderId="0" xfId="0" applyAlignment="1">
      <alignment horizontal="center"/>
      <extLst>
        <ext xmlns:xfpb="http://schemas.microsoft.com/office/spreadsheetml/2022/featurepropertybag" uri="{C7286773-470A-42A8-94C5-96B5CB345126}">
          <xfpb:xfComplement i="0"/>
        </ext>
      </extLst>
    </xf>
    <xf numFmtId="49" fontId="0" fillId="0" borderId="0" xfId="0" applyNumberFormat="1" applyAlignment="1">
      <alignment horizontal="center"/>
    </xf>
    <xf numFmtId="0" fontId="18" fillId="0" borderId="0" xfId="0" applyFont="1"/>
    <xf numFmtId="0" fontId="12" fillId="0" borderId="0" xfId="0" applyFont="1" applyAlignment="1">
      <alignment horizontal="left"/>
    </xf>
    <xf numFmtId="0" fontId="12" fillId="0" borderId="0" xfId="0" applyFont="1" applyAlignment="1">
      <alignment horizontal="center"/>
      <extLst>
        <ext xmlns:xfpb="http://schemas.microsoft.com/office/spreadsheetml/2022/featurepropertybag" uri="{C7286773-470A-42A8-94C5-96B5CB345126}">
          <xfpb:xfComplement i="0"/>
        </ext>
      </extLst>
    </xf>
    <xf numFmtId="10" fontId="8" fillId="6" borderId="6" xfId="0" applyNumberFormat="1" applyFont="1" applyFill="1" applyBorder="1" applyAlignment="1">
      <alignment vertical="center" wrapText="1"/>
    </xf>
    <xf numFmtId="10" fontId="21" fillId="11" borderId="0" xfId="5" applyNumberFormat="1" applyFont="1" applyBorder="1" applyAlignment="1"/>
    <xf numFmtId="0" fontId="3" fillId="2" borderId="7" xfId="0" applyFont="1" applyFill="1" applyBorder="1" applyAlignment="1">
      <alignment vertical="center" wrapText="1"/>
    </xf>
    <xf numFmtId="10" fontId="11" fillId="10" borderId="8" xfId="4" applyNumberFormat="1" applyBorder="1" applyAlignment="1">
      <alignment horizontal="center" vertical="center" wrapText="1"/>
    </xf>
    <xf numFmtId="0" fontId="8" fillId="6" borderId="9" xfId="0" applyFont="1" applyFill="1" applyBorder="1" applyAlignment="1">
      <alignment vertical="center" wrapText="1"/>
    </xf>
    <xf numFmtId="0" fontId="1" fillId="11" borderId="10" xfId="5" applyBorder="1" applyAlignment="1"/>
    <xf numFmtId="0" fontId="3" fillId="7" borderId="10" xfId="0" applyFont="1" applyFill="1" applyBorder="1" applyAlignment="1">
      <alignment vertical="center" wrapText="1"/>
    </xf>
    <xf numFmtId="0" fontId="10" fillId="9" borderId="11" xfId="3" applyBorder="1" applyAlignment="1">
      <alignment horizontal="center" vertical="center" wrapText="1"/>
    </xf>
    <xf numFmtId="0" fontId="10" fillId="12" borderId="11" xfId="3" applyFill="1" applyBorder="1" applyAlignment="1">
      <alignment vertical="center" wrapText="1"/>
    </xf>
    <xf numFmtId="0" fontId="10" fillId="13" borderId="11" xfId="3" applyFill="1" applyBorder="1" applyAlignment="1">
      <alignment vertical="center" wrapText="1"/>
    </xf>
    <xf numFmtId="0" fontId="10" fillId="9" borderId="11" xfId="3" applyBorder="1" applyAlignment="1">
      <alignment horizontal="center"/>
    </xf>
    <xf numFmtId="0" fontId="10" fillId="14" borderId="11" xfId="3" applyFill="1" applyBorder="1"/>
    <xf numFmtId="10" fontId="11" fillId="10" borderId="8" xfId="2" applyNumberFormat="1" applyFont="1" applyFill="1" applyBorder="1" applyAlignment="1">
      <alignment horizontal="center" vertical="center" wrapText="1"/>
    </xf>
    <xf numFmtId="10" fontId="11" fillId="10" borderId="8" xfId="2" applyNumberFormat="1" applyFont="1" applyFill="1" applyBorder="1" applyAlignment="1">
      <alignment horizontal="center"/>
    </xf>
    <xf numFmtId="0" fontId="2" fillId="8" borderId="12" xfId="0" applyFont="1" applyFill="1" applyBorder="1" applyAlignment="1">
      <alignment horizontal="center"/>
    </xf>
    <xf numFmtId="0" fontId="10" fillId="9" borderId="3" xfId="3" applyAlignment="1">
      <alignment horizontal="center" vertical="center" wrapText="1"/>
    </xf>
    <xf numFmtId="0" fontId="11" fillId="10" borderId="4" xfId="4" applyAlignment="1">
      <alignment horizontal="center" vertical="center" wrapText="1"/>
    </xf>
    <xf numFmtId="165" fontId="11" fillId="10" borderId="4" xfId="4" applyNumberFormat="1" applyAlignment="1">
      <alignment horizontal="center" vertical="center" wrapText="1"/>
    </xf>
    <xf numFmtId="165" fontId="10" fillId="9" borderId="3" xfId="3" applyNumberFormat="1" applyAlignment="1">
      <alignment horizontal="center" vertical="center" wrapText="1"/>
    </xf>
    <xf numFmtId="10" fontId="11" fillId="10" borderId="4" xfId="4" applyNumberFormat="1" applyAlignment="1">
      <alignment horizontal="center" vertical="center" wrapText="1"/>
    </xf>
    <xf numFmtId="0" fontId="10" fillId="12" borderId="3" xfId="3" applyFill="1" applyAlignment="1">
      <alignment vertical="center" wrapText="1"/>
    </xf>
    <xf numFmtId="0" fontId="10" fillId="13" borderId="3" xfId="3" applyFill="1" applyAlignment="1">
      <alignment vertical="center" wrapText="1"/>
    </xf>
    <xf numFmtId="0" fontId="10" fillId="9" borderId="3" xfId="3" applyAlignment="1">
      <alignment horizontal="center"/>
    </xf>
    <xf numFmtId="0" fontId="11" fillId="10" borderId="4" xfId="4" applyAlignment="1">
      <alignment horizontal="center"/>
    </xf>
    <xf numFmtId="165" fontId="11" fillId="10" borderId="4" xfId="4" applyNumberFormat="1" applyAlignment="1">
      <alignment horizontal="center"/>
    </xf>
    <xf numFmtId="10" fontId="11" fillId="10" borderId="4" xfId="4" applyNumberFormat="1" applyAlignment="1">
      <alignment horizontal="center"/>
    </xf>
    <xf numFmtId="10" fontId="3" fillId="7" borderId="0" xfId="0" applyNumberFormat="1" applyFont="1" applyFill="1" applyAlignment="1">
      <alignment vertical="center" wrapText="1"/>
    </xf>
    <xf numFmtId="0" fontId="3" fillId="7" borderId="0" xfId="0" applyFont="1" applyFill="1" applyAlignment="1">
      <alignment vertical="center" wrapText="1"/>
    </xf>
    <xf numFmtId="0" fontId="10" fillId="14" borderId="3" xfId="3" applyFill="1"/>
    <xf numFmtId="2" fontId="0" fillId="0" borderId="0" xfId="0" applyNumberFormat="1" applyAlignment="1">
      <alignment horizontal="center"/>
    </xf>
    <xf numFmtId="0" fontId="12" fillId="0" borderId="0" xfId="0" applyFont="1" applyAlignment="1">
      <alignment horizontal="center" vertical="center"/>
    </xf>
    <xf numFmtId="49" fontId="0" fillId="0" borderId="0" xfId="0" applyNumberFormat="1" applyAlignment="1">
      <alignment horizontal="center" vertical="center"/>
    </xf>
    <xf numFmtId="0" fontId="23" fillId="0" borderId="0" xfId="0" applyFont="1" applyAlignment="1">
      <alignment horizontal="left"/>
    </xf>
    <xf numFmtId="0" fontId="19" fillId="0" borderId="0" xfId="0" applyFont="1" applyAlignment="1">
      <alignment horizontal="left" vertical="center"/>
    </xf>
    <xf numFmtId="49" fontId="12" fillId="0" borderId="0" xfId="0" applyNumberFormat="1" applyFont="1" applyAlignment="1">
      <alignment horizontal="center" vertical="center"/>
    </xf>
    <xf numFmtId="49" fontId="12" fillId="0" borderId="0" xfId="0" applyNumberFormat="1" applyFont="1" applyAlignment="1">
      <alignment horizontal="center"/>
    </xf>
    <xf numFmtId="165" fontId="11" fillId="10" borderId="16" xfId="4" applyNumberFormat="1" applyBorder="1" applyAlignment="1">
      <alignment horizontal="right" vertical="center" wrapText="1"/>
    </xf>
    <xf numFmtId="165" fontId="11" fillId="10" borderId="17" xfId="4" applyNumberFormat="1" applyBorder="1" applyAlignment="1">
      <alignment horizontal="right" vertical="center" wrapText="1"/>
    </xf>
    <xf numFmtId="166" fontId="11" fillId="10" borderId="17" xfId="4" applyNumberFormat="1" applyBorder="1" applyAlignment="1">
      <alignment horizontal="right"/>
    </xf>
    <xf numFmtId="10" fontId="11" fillId="10" borderId="17" xfId="4" applyNumberFormat="1" applyBorder="1" applyAlignment="1">
      <alignment horizontal="right"/>
    </xf>
    <xf numFmtId="10" fontId="11" fillId="10" borderId="17" xfId="2" applyNumberFormat="1" applyFont="1" applyFill="1" applyBorder="1" applyAlignment="1">
      <alignment horizontal="right"/>
    </xf>
    <xf numFmtId="0" fontId="11" fillId="10" borderId="17" xfId="2" applyNumberFormat="1" applyFont="1" applyFill="1" applyBorder="1" applyAlignment="1">
      <alignment horizontal="right"/>
    </xf>
    <xf numFmtId="165" fontId="11" fillId="10" borderId="18" xfId="2" applyNumberFormat="1" applyFont="1" applyFill="1" applyBorder="1" applyAlignment="1">
      <alignment horizontal="right"/>
    </xf>
    <xf numFmtId="0" fontId="0" fillId="15" borderId="19" xfId="7" applyFont="1"/>
    <xf numFmtId="14" fontId="0" fillId="15" borderId="19" xfId="7" applyNumberFormat="1" applyFont="1"/>
    <xf numFmtId="0" fontId="3" fillId="5" borderId="0" xfId="0" applyFont="1" applyFill="1" applyAlignment="1">
      <alignment horizontal="left"/>
    </xf>
    <xf numFmtId="0" fontId="3" fillId="5" borderId="0" xfId="0" applyFont="1" applyFill="1" applyAlignment="1">
      <alignment horizontal="left" indent="1"/>
    </xf>
    <xf numFmtId="0" fontId="0" fillId="0" borderId="0" xfId="0" applyAlignment="1">
      <alignment horizontal="center" wrapText="1"/>
    </xf>
    <xf numFmtId="0" fontId="0" fillId="0" borderId="0" xfId="0" applyAlignment="1">
      <alignment horizontal="center" vertical="center"/>
    </xf>
    <xf numFmtId="0" fontId="12" fillId="0" borderId="0" xfId="0" applyFont="1" applyAlignment="1">
      <alignment horizontal="right"/>
    </xf>
    <xf numFmtId="0" fontId="25" fillId="0" borderId="0" xfId="8"/>
    <xf numFmtId="9" fontId="10" fillId="9" borderId="3" xfId="2" applyFont="1" applyFill="1" applyBorder="1" applyAlignment="1">
      <alignment horizontal="center"/>
    </xf>
    <xf numFmtId="0" fontId="5" fillId="0" borderId="2" xfId="0" applyFont="1" applyBorder="1" applyAlignment="1">
      <alignment horizontal="left" vertical="center" wrapText="1"/>
    </xf>
    <xf numFmtId="0" fontId="6" fillId="0" borderId="21" xfId="0" applyFont="1" applyBorder="1" applyAlignment="1">
      <alignment horizontal="left" vertical="center" wrapText="1"/>
    </xf>
    <xf numFmtId="0" fontId="12" fillId="11" borderId="0" xfId="5" applyFont="1" applyBorder="1" applyAlignment="1"/>
    <xf numFmtId="0" fontId="5" fillId="0" borderId="21" xfId="0" applyFont="1" applyBorder="1" applyAlignment="1">
      <alignment horizontal="left" vertical="center" wrapText="1"/>
    </xf>
    <xf numFmtId="0" fontId="10" fillId="9" borderId="22" xfId="3" applyBorder="1" applyAlignment="1">
      <alignment vertical="center" wrapText="1"/>
    </xf>
    <xf numFmtId="0" fontId="10" fillId="13" borderId="22" xfId="3" applyFill="1" applyBorder="1" applyAlignment="1">
      <alignment vertical="center" wrapText="1"/>
    </xf>
    <xf numFmtId="0" fontId="10" fillId="14" borderId="22" xfId="3" applyFill="1" applyBorder="1"/>
    <xf numFmtId="0" fontId="3" fillId="5" borderId="23" xfId="0" applyFont="1" applyFill="1" applyBorder="1" applyAlignment="1">
      <alignment horizontal="center"/>
    </xf>
    <xf numFmtId="0" fontId="3" fillId="5" borderId="24" xfId="0" applyFont="1" applyFill="1" applyBorder="1" applyAlignment="1">
      <alignment horizontal="center"/>
    </xf>
    <xf numFmtId="0" fontId="3" fillId="5" borderId="24" xfId="0" applyFont="1" applyFill="1" applyBorder="1" applyAlignment="1">
      <alignment horizontal="center" wrapText="1"/>
    </xf>
    <xf numFmtId="0" fontId="3" fillId="5" borderId="25" xfId="0" applyFont="1" applyFill="1" applyBorder="1" applyAlignment="1">
      <alignment horizontal="center"/>
    </xf>
    <xf numFmtId="0" fontId="3" fillId="5" borderId="24" xfId="0" applyFont="1" applyFill="1" applyBorder="1" applyAlignment="1">
      <alignment horizontal="center" vertical="center" wrapText="1"/>
    </xf>
    <xf numFmtId="0" fontId="3" fillId="5" borderId="26" xfId="0" applyFont="1" applyFill="1" applyBorder="1" applyAlignment="1">
      <alignment horizontal="center" wrapText="1"/>
    </xf>
    <xf numFmtId="0" fontId="5" fillId="0" borderId="15" xfId="0" applyFont="1" applyBorder="1" applyAlignment="1">
      <alignment horizontal="left" vertical="center" wrapText="1"/>
    </xf>
    <xf numFmtId="0" fontId="10" fillId="9" borderId="27" xfId="3" applyBorder="1" applyAlignment="1">
      <alignment horizontal="center" vertical="center" wrapText="1"/>
    </xf>
    <xf numFmtId="0" fontId="10" fillId="9" borderId="27" xfId="3" applyBorder="1" applyAlignment="1">
      <alignment vertical="center" wrapText="1"/>
    </xf>
    <xf numFmtId="165" fontId="11" fillId="10" borderId="28" xfId="4" applyNumberFormat="1" applyBorder="1" applyAlignment="1">
      <alignment horizontal="center" vertical="center" wrapText="1"/>
    </xf>
    <xf numFmtId="165" fontId="10" fillId="9" borderId="27" xfId="3" applyNumberFormat="1" applyBorder="1" applyAlignment="1">
      <alignment horizontal="center" vertical="center" wrapText="1"/>
    </xf>
    <xf numFmtId="10" fontId="11" fillId="10" borderId="28" xfId="4" applyNumberFormat="1" applyBorder="1" applyAlignment="1">
      <alignment horizontal="center" vertical="center" wrapText="1"/>
    </xf>
    <xf numFmtId="10" fontId="11" fillId="10" borderId="29" xfId="2" applyNumberFormat="1" applyFont="1" applyFill="1" applyBorder="1" applyAlignment="1">
      <alignment horizontal="center" vertical="center" wrapText="1"/>
    </xf>
    <xf numFmtId="0" fontId="10" fillId="9" borderId="30" xfId="3" applyBorder="1" applyAlignment="1">
      <alignment horizontal="center" vertical="center" wrapText="1"/>
    </xf>
    <xf numFmtId="0" fontId="10" fillId="9" borderId="31" xfId="3" applyBorder="1" applyAlignment="1">
      <alignment vertical="center" wrapText="1"/>
    </xf>
    <xf numFmtId="0" fontId="7" fillId="0" borderId="0" xfId="0" applyFont="1" applyAlignment="1">
      <alignment horizontal="right"/>
    </xf>
    <xf numFmtId="165" fontId="13" fillId="0" borderId="0" xfId="0" applyNumberFormat="1" applyFont="1"/>
    <xf numFmtId="10" fontId="11" fillId="16" borderId="8" xfId="2" applyNumberFormat="1" applyFont="1" applyFill="1" applyBorder="1" applyAlignment="1">
      <alignment horizontal="center" vertical="center" wrapText="1"/>
    </xf>
    <xf numFmtId="0" fontId="2" fillId="4" borderId="15" xfId="0" applyFont="1" applyFill="1" applyBorder="1"/>
    <xf numFmtId="0" fontId="2" fillId="4" borderId="14" xfId="0" applyFont="1" applyFill="1" applyBorder="1"/>
    <xf numFmtId="0" fontId="26" fillId="0" borderId="32" xfId="0" applyFont="1" applyBorder="1" applyAlignment="1">
      <alignment horizontal="left" vertical="center" indent="1"/>
    </xf>
    <xf numFmtId="0" fontId="26" fillId="0" borderId="32" xfId="0" applyFont="1" applyBorder="1" applyAlignment="1">
      <alignment horizontal="left" vertical="center"/>
    </xf>
    <xf numFmtId="0" fontId="26" fillId="0" borderId="33" xfId="0" applyFont="1" applyBorder="1" applyAlignment="1">
      <alignment horizontal="left" vertical="center" indent="1"/>
    </xf>
    <xf numFmtId="0" fontId="18" fillId="17" borderId="12" xfId="0" applyFont="1" applyFill="1" applyBorder="1" applyAlignment="1">
      <alignment horizontal="center"/>
    </xf>
    <xf numFmtId="0" fontId="10" fillId="9" borderId="3" xfId="3" applyAlignment="1">
      <alignment vertical="center"/>
    </xf>
    <xf numFmtId="0" fontId="29" fillId="0" borderId="0" xfId="0" applyFont="1"/>
    <xf numFmtId="0" fontId="30" fillId="0" borderId="0" xfId="0" applyFont="1" applyAlignment="1">
      <alignment horizontal="center"/>
    </xf>
    <xf numFmtId="0" fontId="29" fillId="0" borderId="0" xfId="0" applyFont="1" applyAlignment="1">
      <alignment horizontal="center"/>
    </xf>
    <xf numFmtId="0" fontId="12" fillId="11" borderId="0" xfId="5" applyFont="1"/>
    <xf numFmtId="10" fontId="21" fillId="11" borderId="0" xfId="5" applyNumberFormat="1" applyFont="1"/>
    <xf numFmtId="0" fontId="0" fillId="11" borderId="0" xfId="5" applyFont="1"/>
    <xf numFmtId="0" fontId="0" fillId="11" borderId="10" xfId="5" applyFont="1" applyBorder="1"/>
    <xf numFmtId="0" fontId="32" fillId="19" borderId="34" xfId="0" applyFont="1" applyFill="1" applyBorder="1" applyAlignment="1">
      <alignment horizontal="center" vertical="center" wrapText="1"/>
    </xf>
    <xf numFmtId="1" fontId="33" fillId="0" borderId="34" xfId="0" applyNumberFormat="1" applyFont="1" applyBorder="1"/>
    <xf numFmtId="167" fontId="33" fillId="0" borderId="34" xfId="0" applyNumberFormat="1" applyFont="1" applyBorder="1"/>
    <xf numFmtId="168" fontId="33" fillId="0" borderId="34" xfId="0" applyNumberFormat="1" applyFont="1" applyBorder="1"/>
    <xf numFmtId="169" fontId="34" fillId="20" borderId="34" xfId="0" applyNumberFormat="1" applyFont="1" applyFill="1" applyBorder="1"/>
    <xf numFmtId="169" fontId="35" fillId="0" borderId="34" xfId="0" applyNumberFormat="1" applyFont="1" applyBorder="1"/>
    <xf numFmtId="0" fontId="32" fillId="20" borderId="34" xfId="0" applyFont="1" applyFill="1" applyBorder="1"/>
    <xf numFmtId="0" fontId="0" fillId="20" borderId="34" xfId="0" applyFill="1" applyBorder="1"/>
    <xf numFmtId="0" fontId="26" fillId="0" borderId="0" xfId="0" applyFont="1" applyAlignment="1">
      <alignment horizontal="left" vertical="center" indent="1"/>
    </xf>
    <xf numFmtId="0" fontId="34" fillId="0" borderId="34" xfId="0" applyFont="1" applyBorder="1"/>
    <xf numFmtId="170" fontId="37" fillId="21" borderId="34" xfId="0" applyNumberFormat="1" applyFont="1" applyFill="1" applyBorder="1"/>
    <xf numFmtId="0" fontId="34" fillId="20" borderId="34" xfId="0" applyFont="1" applyFill="1" applyBorder="1"/>
    <xf numFmtId="170" fontId="34" fillId="20" borderId="34" xfId="0" applyNumberFormat="1" applyFont="1" applyFill="1" applyBorder="1"/>
    <xf numFmtId="167" fontId="37" fillId="21" borderId="34" xfId="0" applyNumberFormat="1" applyFont="1" applyFill="1" applyBorder="1"/>
    <xf numFmtId="0" fontId="38" fillId="0" borderId="34" xfId="0" applyFont="1" applyBorder="1"/>
    <xf numFmtId="171" fontId="37" fillId="21" borderId="34" xfId="0" applyNumberFormat="1" applyFont="1" applyFill="1" applyBorder="1"/>
    <xf numFmtId="169" fontId="37" fillId="21" borderId="34" xfId="0" applyNumberFormat="1" applyFont="1" applyFill="1" applyBorder="1"/>
    <xf numFmtId="1" fontId="34" fillId="0" borderId="34" xfId="0" applyNumberFormat="1" applyFont="1" applyBorder="1"/>
    <xf numFmtId="0" fontId="33" fillId="0" borderId="34" xfId="0" applyFont="1" applyBorder="1"/>
    <xf numFmtId="0" fontId="35" fillId="0" borderId="34" xfId="0" applyFont="1" applyBorder="1"/>
    <xf numFmtId="1" fontId="0" fillId="0" borderId="0" xfId="0" applyNumberFormat="1"/>
    <xf numFmtId="167" fontId="0" fillId="0" borderId="0" xfId="0" applyNumberFormat="1"/>
    <xf numFmtId="168" fontId="0" fillId="0" borderId="0" xfId="0" applyNumberFormat="1"/>
    <xf numFmtId="169" fontId="0" fillId="0" borderId="0" xfId="0" applyNumberFormat="1"/>
    <xf numFmtId="0" fontId="12" fillId="11" borderId="0" xfId="5" applyFont="1" applyAlignment="1">
      <alignment wrapText="1"/>
    </xf>
    <xf numFmtId="0" fontId="29" fillId="17" borderId="0" xfId="0" applyFont="1" applyFill="1"/>
    <xf numFmtId="0" fontId="10" fillId="17" borderId="3" xfId="3" applyFill="1" applyAlignment="1">
      <alignment horizontal="center" vertical="center" wrapText="1"/>
    </xf>
    <xf numFmtId="0" fontId="10" fillId="17" borderId="3" xfId="3" applyFill="1"/>
    <xf numFmtId="0" fontId="10" fillId="17" borderId="3" xfId="3" applyFill="1" applyAlignment="1">
      <alignment vertical="center" wrapText="1"/>
    </xf>
    <xf numFmtId="0" fontId="11" fillId="17" borderId="4" xfId="4" applyFill="1" applyAlignment="1">
      <alignment horizontal="center" vertical="center" wrapText="1"/>
    </xf>
    <xf numFmtId="165" fontId="11" fillId="17" borderId="4" xfId="4" applyNumberFormat="1" applyFill="1" applyAlignment="1">
      <alignment horizontal="center" vertical="center" wrapText="1"/>
    </xf>
    <xf numFmtId="10" fontId="11" fillId="17" borderId="4" xfId="4" applyNumberFormat="1" applyFill="1" applyAlignment="1">
      <alignment horizontal="center" vertical="center" wrapText="1"/>
    </xf>
    <xf numFmtId="10" fontId="11" fillId="17" borderId="8" xfId="2" applyNumberFormat="1" applyFont="1" applyFill="1" applyBorder="1" applyAlignment="1">
      <alignment horizontal="center" vertical="center" wrapText="1"/>
    </xf>
    <xf numFmtId="0" fontId="10" fillId="17" borderId="11" xfId="3" applyFill="1" applyBorder="1" applyAlignment="1">
      <alignment horizontal="center" vertical="center" wrapText="1"/>
    </xf>
    <xf numFmtId="0" fontId="10" fillId="17" borderId="22" xfId="3" applyFill="1" applyBorder="1" applyAlignment="1">
      <alignment vertical="center" wrapText="1"/>
    </xf>
    <xf numFmtId="0" fontId="39" fillId="9" borderId="3" xfId="3" applyFont="1" applyAlignment="1">
      <alignment horizontal="center" vertical="center" wrapText="1"/>
    </xf>
    <xf numFmtId="0" fontId="0" fillId="17" borderId="0" xfId="0" applyFill="1"/>
    <xf numFmtId="0" fontId="4" fillId="17" borderId="0" xfId="0" applyFont="1" applyFill="1" applyAlignment="1">
      <alignment horizontal="center" vertical="center"/>
    </xf>
    <xf numFmtId="165" fontId="4" fillId="17" borderId="0" xfId="0" applyNumberFormat="1" applyFont="1" applyFill="1"/>
    <xf numFmtId="2" fontId="4" fillId="0" borderId="0" xfId="0" applyNumberFormat="1" applyFont="1"/>
    <xf numFmtId="15" fontId="4" fillId="0" borderId="0" xfId="0" applyNumberFormat="1" applyFont="1"/>
    <xf numFmtId="15" fontId="3" fillId="2" borderId="2" xfId="0" applyNumberFormat="1" applyFont="1" applyFill="1" applyBorder="1" applyAlignment="1">
      <alignment vertical="center" wrapText="1"/>
    </xf>
    <xf numFmtId="0" fontId="5" fillId="17" borderId="21" xfId="0" applyFont="1" applyFill="1" applyBorder="1" applyAlignment="1">
      <alignment horizontal="left" vertical="center" wrapText="1"/>
    </xf>
    <xf numFmtId="0" fontId="2" fillId="3" borderId="13" xfId="0" applyFont="1" applyFill="1" applyBorder="1" applyAlignment="1">
      <alignment horizontal="center"/>
    </xf>
    <xf numFmtId="0" fontId="7" fillId="0" borderId="20" xfId="0" applyFont="1" applyBorder="1" applyAlignment="1">
      <alignment horizontal="right" indent="2"/>
    </xf>
    <xf numFmtId="0" fontId="24" fillId="15" borderId="19" xfId="7" applyFont="1" applyAlignment="1">
      <alignment horizontal="left"/>
    </xf>
    <xf numFmtId="0" fontId="25" fillId="15" borderId="19" xfId="8" applyFill="1" applyBorder="1" applyAlignment="1">
      <alignment horizontal="left"/>
    </xf>
    <xf numFmtId="0" fontId="2" fillId="3" borderId="14" xfId="0" applyFont="1" applyFill="1" applyBorder="1" applyAlignment="1">
      <alignment horizontal="center"/>
    </xf>
    <xf numFmtId="0" fontId="7" fillId="0" borderId="0" xfId="0" applyFont="1" applyAlignment="1">
      <alignment horizontal="right" indent="2"/>
    </xf>
    <xf numFmtId="0" fontId="31" fillId="18" borderId="0" xfId="0" applyFont="1" applyFill="1" applyAlignment="1">
      <alignment horizontal="left" vertical="center" wrapText="1"/>
    </xf>
    <xf numFmtId="0" fontId="0" fillId="0" borderId="0" xfId="0" applyAlignment="1"/>
    <xf numFmtId="0" fontId="36" fillId="18" borderId="0" xfId="0" applyFont="1" applyFill="1" applyAlignment="1"/>
  </cellXfs>
  <cellStyles count="9">
    <cellStyle name="60% - Accent2" xfId="5" builtinId="36"/>
    <cellStyle name="Currency" xfId="1" builtinId="4"/>
    <cellStyle name="Hyperlink" xfId="8" builtinId="8"/>
    <cellStyle name="Input" xfId="3" builtinId="20"/>
    <cellStyle name="Normal" xfId="0" builtinId="0"/>
    <cellStyle name="Normal 2" xfId="6" xr:uid="{EB860357-4D49-4E36-BBF3-D787CFD591A3}"/>
    <cellStyle name="Note" xfId="7" builtinId="10"/>
    <cellStyle name="Output" xfId="4" builtinId="21"/>
    <cellStyle name="Percent" xfId="2" builtinId="5"/>
  </cellStyles>
  <dxfs count="143">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border diagonalUp="0" diagonalDown="0">
        <left style="thin">
          <color rgb="FF7F7F7F"/>
        </left>
        <right/>
        <top style="thin">
          <color rgb="FF7F7F7F"/>
        </top>
        <bottom style="thin">
          <color rgb="FF7F7F7F"/>
        </bottom>
        <vertical/>
        <horizontal/>
      </border>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border diagonalUp="0" diagonalDown="0">
        <left/>
        <right style="thin">
          <color rgb="FF7F7F7F"/>
        </right>
        <top style="thin">
          <color rgb="FF7F7F7F"/>
        </top>
        <bottom style="thin">
          <color rgb="FF7F7F7F"/>
        </bottom>
        <vertical/>
        <horizontal/>
      </border>
    </dxf>
    <dxf>
      <font>
        <b/>
        <i val="0"/>
        <strike val="0"/>
        <condense val="0"/>
        <extend val="0"/>
        <outline val="0"/>
        <shadow val="0"/>
        <u val="none"/>
        <vertAlign val="baseline"/>
        <sz val="11"/>
        <color rgb="FF3F3F3F"/>
        <name val="Calibri"/>
        <family val="2"/>
        <scheme val="minor"/>
      </font>
      <numFmt numFmtId="14" formatCode="0.00%"/>
      <fill>
        <patternFill patternType="solid">
          <fgColor indexed="64"/>
          <bgColor rgb="FFF2F2F2"/>
        </patternFill>
      </fill>
      <alignment horizontal="center" vertical="center" textRotation="0" wrapText="1" indent="0" justifyLastLine="0" shrinkToFit="0" readingOrder="0"/>
      <border diagonalUp="0" diagonalDown="0">
        <left style="thin">
          <color rgb="FF3F3F3F"/>
        </left>
        <right style="medium">
          <color indexed="64"/>
        </right>
        <top style="thin">
          <color rgb="FF3F3F3F"/>
        </top>
        <bottom style="thin">
          <color rgb="FF3F3F3F"/>
        </bottom>
        <vertical/>
        <horizontal/>
      </border>
    </dxf>
    <dxf>
      <numFmt numFmtId="14" formatCode="0.00%"/>
      <alignment horizontal="center" vertical="center" textRotation="0" wrapText="1" indent="0" justifyLastLine="0" shrinkToFit="0" readingOrder="0"/>
    </dxf>
    <dxf>
      <numFmt numFmtId="14" formatCode="0.00%"/>
      <alignment horizontal="center" vertical="center" textRotation="0" wrapText="1" indent="0" justifyLastLine="0" shrinkToFit="0" readingOrder="0"/>
    </dxf>
    <dxf>
      <numFmt numFmtId="165" formatCode="&quot;$&quot;#,##0.00"/>
      <alignment horizontal="center" vertical="center" textRotation="0" wrapText="1" indent="0" justifyLastLine="0" shrinkToFit="0" readingOrder="0"/>
    </dxf>
    <dxf>
      <numFmt numFmtId="165" formatCode="&quot;$&quot;#,##0.00"/>
      <alignment horizontal="center" vertical="center" textRotation="0" wrapText="1" indent="0" justifyLastLine="0" shrinkToFit="0" readingOrder="0"/>
    </dxf>
    <dxf>
      <numFmt numFmtId="165" formatCode="&quot;$&quot;#,##0.00"/>
      <alignment horizontal="center" vertical="center" textRotation="0" wrapText="1" indent="0" justifyLastLine="0" shrinkToFit="0" readingOrder="0"/>
    </dxf>
    <dxf>
      <numFmt numFmtId="165" formatCode="&quot;$&quot;#,##0.00"/>
      <alignment horizontal="center" vertical="center" textRotation="0" wrapText="1" indent="0" justifyLastLine="0" shrinkToFit="0" readingOrder="0"/>
    </dxf>
    <dxf>
      <numFmt numFmtId="165" formatCode="&quot;$&quot;#,##0.00"/>
      <alignment horizontal="center" vertical="center" textRotation="0" wrapText="1"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0"/>
        <color rgb="FF000000"/>
        <name val="Segoe UI"/>
        <family val="2"/>
        <scheme val="none"/>
      </font>
      <alignment horizontal="left" vertical="center" textRotation="0" wrapText="1" indent="0" justifyLastLine="0" shrinkToFit="0" readingOrder="0"/>
      <border diagonalUp="0" diagonalDown="0">
        <left/>
        <right/>
        <top style="thin">
          <color indexed="64"/>
        </top>
        <bottom style="thin">
          <color indexed="64"/>
        </bottom>
        <vertical/>
        <horizontal/>
      </border>
    </dxf>
    <dxf>
      <border outline="0">
        <left style="medium">
          <color rgb="FF000000"/>
        </left>
        <right style="medium">
          <color rgb="FF000000"/>
        </right>
        <top style="medium">
          <color rgb="FF000000"/>
        </top>
        <bottom style="medium">
          <color rgb="FF000000"/>
        </bottom>
      </border>
    </dxf>
    <dxf>
      <alignment horizontal="general" vertical="center" textRotation="0" wrapText="1" indent="0" justifyLastLine="0" shrinkToFit="0" readingOrder="0"/>
    </dxf>
    <dxf>
      <font>
        <b/>
        <i val="0"/>
        <strike val="0"/>
        <condense val="0"/>
        <extend val="0"/>
        <outline val="0"/>
        <shadow val="0"/>
        <u val="none"/>
        <vertAlign val="baseline"/>
        <sz val="10"/>
        <color rgb="FF000000"/>
        <name val="Segoe UI"/>
        <family val="2"/>
        <scheme val="none"/>
      </font>
      <fill>
        <patternFill patternType="solid">
          <fgColor indexed="64"/>
          <bgColor theme="0" tint="-0.14999847407452621"/>
        </patternFill>
      </fill>
      <alignment horizontal="center" vertical="bottom" textRotation="0" wrapText="0" indent="0" justifyLastLine="0" shrinkToFit="0" readingOrder="0"/>
      <border diagonalUp="0" diagonalDown="0" outline="0">
        <left style="thin">
          <color rgb="FF000000"/>
        </left>
        <right style="thin">
          <color rgb="FF000000"/>
        </right>
        <top/>
        <bottom/>
      </border>
    </dxf>
    <dxf>
      <fill>
        <patternFill>
          <bgColor rgb="FFFF0000"/>
        </patternFill>
      </fill>
    </dxf>
    <dxf>
      <font>
        <color rgb="FF9C0006"/>
      </font>
      <fill>
        <patternFill>
          <bgColor rgb="FFFFC7CE"/>
        </patternFill>
      </fill>
    </dxf>
    <dxf>
      <fill>
        <patternFill>
          <bgColor theme="0" tint="-4.9989318521683403E-2"/>
        </patternFill>
      </fill>
    </dxf>
    <dxf>
      <font>
        <color rgb="FF9C0006"/>
      </font>
      <fill>
        <patternFill>
          <bgColor rgb="FFFFC7CE"/>
        </patternFill>
      </fill>
    </dxf>
    <dxf>
      <font>
        <color rgb="FF006100"/>
      </font>
      <fill>
        <patternFill>
          <bgColor rgb="FFC6EFCE"/>
        </patternFill>
      </fill>
    </dxf>
    <dxf>
      <fill>
        <patternFill>
          <bgColor theme="0" tint="-4.9989318521683403E-2"/>
        </patternFill>
      </fill>
    </dxf>
    <dxf>
      <font>
        <color rgb="FF006100"/>
      </font>
      <fill>
        <patternFill>
          <bgColor rgb="FFC6EFCE"/>
        </patternFill>
      </fill>
    </dxf>
    <dxf>
      <font>
        <color rgb="FF9C0006"/>
      </font>
      <fill>
        <patternFill>
          <bgColor rgb="FFFFC7CE"/>
        </patternFill>
      </fill>
    </dxf>
    <dxf>
      <fill>
        <patternFill>
          <bgColor rgb="FFF2F2F2"/>
        </patternFill>
      </fill>
    </dxf>
    <dxf>
      <font>
        <color rgb="FFFF0000"/>
      </font>
    </dxf>
    <dxf>
      <font>
        <strike/>
      </font>
    </dxf>
    <dxf>
      <font>
        <strike/>
      </font>
    </dxf>
    <dxf>
      <font>
        <strike/>
      </font>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border diagonalUp="0" diagonalDown="0">
        <left style="thin">
          <color rgb="FF7F7F7F"/>
        </left>
        <right/>
        <top style="thin">
          <color rgb="FF7F7F7F"/>
        </top>
        <bottom style="thin">
          <color rgb="FF7F7F7F"/>
        </bottom>
        <vertical/>
        <horizontal/>
      </border>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border diagonalUp="0" diagonalDown="0">
        <left/>
        <right style="thin">
          <color rgb="FF7F7F7F"/>
        </right>
        <top style="thin">
          <color rgb="FF7F7F7F"/>
        </top>
        <bottom style="thin">
          <color rgb="FF7F7F7F"/>
        </bottom>
        <vertical/>
        <horizontal/>
      </border>
    </dxf>
    <dxf>
      <font>
        <b/>
        <i val="0"/>
        <strike val="0"/>
        <condense val="0"/>
        <extend val="0"/>
        <outline val="0"/>
        <shadow val="0"/>
        <u val="none"/>
        <vertAlign val="baseline"/>
        <sz val="11"/>
        <color rgb="FF3F3F3F"/>
        <name val="Calibri"/>
        <family val="2"/>
        <scheme val="minor"/>
      </font>
      <numFmt numFmtId="14" formatCode="0.00%"/>
      <fill>
        <patternFill patternType="solid">
          <fgColor indexed="64"/>
          <bgColor rgb="FFF2F2F2"/>
        </patternFill>
      </fill>
      <alignment horizontal="center" vertical="center" textRotation="0" wrapText="1" indent="0" justifyLastLine="0" shrinkToFit="0" readingOrder="0"/>
      <border diagonalUp="0" diagonalDown="0">
        <left style="thin">
          <color rgb="FF3F3F3F"/>
        </left>
        <right style="medium">
          <color indexed="64"/>
        </right>
        <top style="thin">
          <color rgb="FF3F3F3F"/>
        </top>
        <bottom style="thin">
          <color rgb="FF3F3F3F"/>
        </bottom>
        <vertical/>
        <horizontal/>
      </border>
    </dxf>
    <dxf>
      <numFmt numFmtId="14" formatCode="0.00%"/>
      <alignment horizontal="center" vertical="center" textRotation="0" wrapText="1" indent="0" justifyLastLine="0" shrinkToFit="0" readingOrder="0"/>
    </dxf>
    <dxf>
      <numFmt numFmtId="14" formatCode="0.00%"/>
      <alignment horizontal="center" vertical="center" textRotation="0" wrapText="1" indent="0" justifyLastLine="0" shrinkToFit="0" readingOrder="0"/>
    </dxf>
    <dxf>
      <numFmt numFmtId="165" formatCode="&quot;$&quot;#,##0.00"/>
      <alignment horizontal="center" vertical="center" textRotation="0" wrapText="1" indent="0" justifyLastLine="0" shrinkToFit="0" readingOrder="0"/>
    </dxf>
    <dxf>
      <numFmt numFmtId="165" formatCode="&quot;$&quot;#,##0.00"/>
      <alignment horizontal="center" vertical="center" textRotation="0" wrapText="1" indent="0" justifyLastLine="0" shrinkToFit="0" readingOrder="0"/>
    </dxf>
    <dxf>
      <numFmt numFmtId="165" formatCode="&quot;$&quot;#,##0.00"/>
      <alignment horizontal="center" vertical="center" textRotation="0" wrapText="1" indent="0" justifyLastLine="0" shrinkToFit="0" readingOrder="0"/>
    </dxf>
    <dxf>
      <numFmt numFmtId="165" formatCode="&quot;$&quot;#,##0.00"/>
      <alignment horizontal="center" vertical="center" textRotation="0" wrapText="1" indent="0" justifyLastLine="0" shrinkToFit="0" readingOrder="0"/>
    </dxf>
    <dxf>
      <numFmt numFmtId="165" formatCode="&quot;$&quot;#,##0.00"/>
      <alignment horizontal="center" vertical="center" textRotation="0" wrapText="1"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0"/>
        <color rgb="FF000000"/>
        <name val="Segoe UI"/>
        <family val="2"/>
        <scheme val="none"/>
      </font>
      <alignment horizontal="left" vertical="center" textRotation="0" wrapText="1" indent="0" justifyLastLine="0" shrinkToFit="0" readingOrder="0"/>
      <border diagonalUp="0" diagonalDown="0">
        <left/>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alignment horizontal="general" vertical="center" textRotation="0" wrapText="1" indent="0" justifyLastLine="0" shrinkToFit="0" readingOrder="0"/>
    </dxf>
    <dxf>
      <font>
        <b/>
        <i val="0"/>
        <strike val="0"/>
        <condense val="0"/>
        <extend val="0"/>
        <outline val="0"/>
        <shadow val="0"/>
        <u val="none"/>
        <vertAlign val="baseline"/>
        <sz val="10"/>
        <color rgb="FF000000"/>
        <name val="Segoe UI"/>
        <family val="2"/>
        <scheme val="none"/>
      </font>
      <fill>
        <patternFill patternType="solid">
          <fgColor indexed="64"/>
          <bgColor theme="0" tint="-0.14999847407452621"/>
        </patternFill>
      </fill>
      <alignment horizontal="center" vertical="bottom" textRotation="0" wrapText="0" indent="0" justifyLastLine="0" shrinkToFit="0" readingOrder="0"/>
      <border diagonalUp="0" diagonalDown="0" outline="0">
        <left style="thin">
          <color rgb="FF000000"/>
        </left>
        <right style="thin">
          <color rgb="FF000000"/>
        </right>
        <top/>
        <bottom/>
      </border>
    </dxf>
    <dxf>
      <fill>
        <patternFill>
          <bgColor rgb="FFFF0000"/>
        </patternFill>
      </fill>
    </dxf>
    <dxf>
      <font>
        <color rgb="FF9C0006"/>
      </font>
      <fill>
        <patternFill>
          <bgColor rgb="FFFFC7CE"/>
        </patternFill>
      </fill>
    </dxf>
    <dxf>
      <fill>
        <patternFill>
          <bgColor theme="0" tint="-4.9989318521683403E-2"/>
        </patternFill>
      </fill>
    </dxf>
    <dxf>
      <font>
        <color rgb="FF9C0006"/>
      </font>
      <fill>
        <patternFill>
          <bgColor rgb="FFFFC7CE"/>
        </patternFill>
      </fill>
    </dxf>
    <dxf>
      <font>
        <color rgb="FF006100"/>
      </font>
      <fill>
        <patternFill>
          <bgColor rgb="FFC6EFCE"/>
        </patternFill>
      </fill>
    </dxf>
    <dxf>
      <fill>
        <patternFill>
          <bgColor theme="0" tint="-4.9989318521683403E-2"/>
        </patternFill>
      </fill>
    </dxf>
    <dxf>
      <font>
        <color rgb="FF006100"/>
      </font>
      <fill>
        <patternFill>
          <bgColor rgb="FFC6EFCE"/>
        </patternFill>
      </fill>
    </dxf>
    <dxf>
      <font>
        <color rgb="FF9C0006"/>
      </font>
      <fill>
        <patternFill>
          <bgColor rgb="FFFFC7CE"/>
        </patternFill>
      </fill>
    </dxf>
    <dxf>
      <fill>
        <patternFill>
          <bgColor rgb="FFF2F2F2"/>
        </patternFill>
      </fill>
    </dxf>
  </dxfs>
  <tableStyles count="1" defaultTableStyle="TableStyleMedium2" defaultPivotStyle="PivotStyleLight16">
    <tableStyle name="Invisible" pivot="0" table="0" count="0" xr9:uid="{314E55FD-A759-4DDC-92BB-DB5D57BC2743}"/>
  </tableStyles>
  <colors>
    <mruColors>
      <color rgb="FFFFCC99"/>
      <color rgb="FFF2F2F2"/>
      <color rgb="FFA9D08E"/>
      <color rgb="FFF4B084"/>
      <color rgb="FFB4C6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2.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customXml" Target="../customXml/item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Total ACR by Year (USD)</a:t>
            </a:r>
          </a:p>
        </c:rich>
      </c:tx>
      <c:overlay val="1"/>
    </c:title>
    <c:autoTitleDeleted val="0"/>
    <c:plotArea>
      <c:layout>
        <c:manualLayout>
          <c:layoutTarget val="inner"/>
          <c:xMode val="edge"/>
          <c:yMode val="edge"/>
          <c:x val="0"/>
          <c:y val="0"/>
          <c:w val="0.84658086419753087"/>
          <c:h val="0.91376543209876548"/>
        </c:manualLayout>
      </c:layout>
      <c:lineChart>
        <c:grouping val="standard"/>
        <c:varyColors val="1"/>
        <c:ser>
          <c:idx val="0"/>
          <c:order val="0"/>
          <c:tx>
            <c:strRef>
              <c:f>'[1]Year Ramp'!$D$3</c:f>
              <c:strCache>
                <c:ptCount val="1"/>
                <c:pt idx="0">
                  <c:v>Total ACR ($)</c:v>
                </c:pt>
              </c:strCache>
            </c:strRef>
          </c:tx>
          <c:spPr>
            <a:ln>
              <a:prstDash val="solid"/>
            </a:ln>
          </c:spPr>
          <c:marker>
            <c:symbol val="none"/>
          </c:marker>
          <c:cat>
            <c:strRef>
              <c:f>'[1]Year Ramp'!$A$4:$A$9</c:f>
              <c:strCache>
                <c:ptCount val="6"/>
                <c:pt idx="0">
                  <c:v>2027</c:v>
                </c:pt>
                <c:pt idx="1">
                  <c:v>2028</c:v>
                </c:pt>
                <c:pt idx="2">
                  <c:v>2029</c:v>
                </c:pt>
                <c:pt idx="3">
                  <c:v>2030</c:v>
                </c:pt>
                <c:pt idx="4">
                  <c:v>2031</c:v>
                </c:pt>
                <c:pt idx="5">
                  <c:v>2032</c:v>
                </c:pt>
              </c:strCache>
            </c:strRef>
          </c:cat>
          <c:val>
            <c:numRef>
              <c:f>'[1]Year Ramp'!$D$4:$D$9</c:f>
              <c:numCache>
                <c:formatCode>General</c:formatCode>
                <c:ptCount val="6"/>
                <c:pt idx="0">
                  <c:v>2185124.9999999995</c:v>
                </c:pt>
                <c:pt idx="1">
                  <c:v>37147124.999999993</c:v>
                </c:pt>
                <c:pt idx="2">
                  <c:v>63769231.249999993</c:v>
                </c:pt>
                <c:pt idx="3">
                  <c:v>140175768.74999997</c:v>
                </c:pt>
                <c:pt idx="4">
                  <c:v>170621843.74999997</c:v>
                </c:pt>
                <c:pt idx="5">
                  <c:v>188284937.49999997</c:v>
                </c:pt>
              </c:numCache>
            </c:numRef>
          </c:val>
          <c:smooth val="1"/>
          <c:extLst>
            <c:ext xmlns:c16="http://schemas.microsoft.com/office/drawing/2014/chart" uri="{C3380CC4-5D6E-409C-BE32-E72D297353CC}">
              <c16:uniqueId val="{00000000-49AD-42FD-BF5E-14F652F1F994}"/>
            </c:ext>
          </c:extLst>
        </c:ser>
        <c:dLbls>
          <c:showLegendKey val="0"/>
          <c:showVal val="0"/>
          <c:showCatName val="0"/>
          <c:showSerName val="0"/>
          <c:showPercent val="0"/>
          <c:showBubbleSize val="0"/>
        </c:dLbls>
        <c:smooth val="0"/>
        <c:axId val="10"/>
        <c:axId val="100"/>
      </c:lineChart>
      <c:catAx>
        <c:axId val="10"/>
        <c:scaling>
          <c:orientation val="minMax"/>
        </c:scaling>
        <c:delete val="1"/>
        <c:axPos val="b"/>
        <c:title>
          <c:tx>
            <c:rich>
              <a:bodyPr/>
              <a:lstStyle/>
              <a:p>
                <a:pPr>
                  <a:defRPr/>
                </a:pPr>
                <a:r>
                  <a:rPr lang="en-US"/>
                  <a:t>Year</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Total ACR</a:t>
                </a:r>
              </a:p>
            </c:rich>
          </c:tx>
          <c:overlay val="1"/>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54</xdr:row>
      <xdr:rowOff>0</xdr:rowOff>
    </xdr:from>
    <xdr:to>
      <xdr:col>20</xdr:col>
      <xdr:colOff>188112</xdr:colOff>
      <xdr:row>77</xdr:row>
      <xdr:rowOff>120881</xdr:rowOff>
    </xdr:to>
    <xdr:pic>
      <xdr:nvPicPr>
        <xdr:cNvPr id="2" name="Picture 1">
          <a:extLst>
            <a:ext uri="{FF2B5EF4-FFF2-40B4-BE49-F238E27FC236}">
              <a16:creationId xmlns:a16="http://schemas.microsoft.com/office/drawing/2014/main" id="{CEE3BA40-3056-3C6B-E4A3-DBBA3D711074}"/>
            </a:ext>
          </a:extLst>
        </xdr:cNvPr>
        <xdr:cNvPicPr>
          <a:picLocks noChangeAspect="1"/>
        </xdr:cNvPicPr>
      </xdr:nvPicPr>
      <xdr:blipFill>
        <a:blip xmlns:r="http://schemas.openxmlformats.org/officeDocument/2006/relationships" r:embed="rId1"/>
        <a:stretch>
          <a:fillRect/>
        </a:stretch>
      </xdr:blipFill>
      <xdr:spPr>
        <a:xfrm>
          <a:off x="2554111" y="10872611"/>
          <a:ext cx="8439584" cy="446427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xdr:col>
      <xdr:colOff>495300</xdr:colOff>
      <xdr:row>14</xdr:row>
      <xdr:rowOff>0</xdr:rowOff>
    </xdr:from>
    <xdr:ext cx="6480000" cy="3240000"/>
    <xdr:graphicFrame macro="">
      <xdr:nvGraphicFramePr>
        <xdr:cNvPr id="2" name="Chart 1">
          <a:extLst>
            <a:ext uri="{FF2B5EF4-FFF2-40B4-BE49-F238E27FC236}">
              <a16:creationId xmlns:a16="http://schemas.microsoft.com/office/drawing/2014/main" id="{07838626-EAA1-4B83-9E5D-C63BCA129B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microsoft-my.sharepoint.com/personal/srashid_microsoft_com/Documents/PSA%20Engagements/Bosch/AI%20Cockpit/estimate/Bosch_AI_Cockpit_ACR_Model.xlsx" TargetMode="External"/><Relationship Id="rId1" Type="http://schemas.openxmlformats.org/officeDocument/2006/relationships/externalLinkPath" Target="https://microsoft-my.sharepoint.com/personal/srashid_microsoft_com/Documents/PSA%20Engagements/Bosch/AI%20Cockpit/estimate/Bosch_AI_Cockpit_ACR_Mod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ME"/>
      <sheetName val="Assumptions"/>
      <sheetName val="Sheet1"/>
      <sheetName val="Per-Vehicle ACR"/>
      <sheetName val="Stamps"/>
      <sheetName val="Year Ramp"/>
      <sheetName val="Sensitivity"/>
    </sheetNames>
    <sheetDataSet>
      <sheetData sheetId="0"/>
      <sheetData sheetId="1"/>
      <sheetData sheetId="2"/>
      <sheetData sheetId="3"/>
      <sheetData sheetId="4"/>
      <sheetData sheetId="5">
        <row r="3">
          <cell r="D3" t="str">
            <v>Total ACR ($)</v>
          </cell>
        </row>
        <row r="4">
          <cell r="A4">
            <v>2027</v>
          </cell>
          <cell r="D4">
            <v>2185124.9999999995</v>
          </cell>
        </row>
        <row r="5">
          <cell r="A5">
            <v>2028</v>
          </cell>
          <cell r="D5">
            <v>37147124.999999993</v>
          </cell>
        </row>
        <row r="6">
          <cell r="A6">
            <v>2029</v>
          </cell>
          <cell r="D6">
            <v>63769231.249999993</v>
          </cell>
        </row>
        <row r="7">
          <cell r="A7">
            <v>2030</v>
          </cell>
          <cell r="D7">
            <v>140175768.74999997</v>
          </cell>
        </row>
        <row r="8">
          <cell r="A8">
            <v>2031</v>
          </cell>
          <cell r="D8">
            <v>170621843.74999997</v>
          </cell>
        </row>
        <row r="9">
          <cell r="A9">
            <v>2032</v>
          </cell>
          <cell r="D9">
            <v>188284937.49999997</v>
          </cell>
        </row>
      </sheetData>
      <sheetData sheetId="6"/>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Wayne Schmoyer" id="{A2D0A6F6-F8C1-4E99-A545-F286BC14AFD0}" userId="S::waschmoy@microsoft.com::b84f0ffc-7d1b-4c0a-97c2-a0d5a0d5b27c"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67364D6-02D4-496C-B47A-BC41092BF1F5}" name="Table1" displayName="Table1" ref="C18:BK69" totalsRowShown="0" headerRowDxfId="133" dataDxfId="132" tableBorderDxfId="131" dataCellStyle="Input">
  <autoFilter ref="C18:BK69" xr:uid="{F67364D6-02D4-496C-B47A-BC41092BF1F5}"/>
  <tableColumns count="61">
    <tableColumn id="1" xr3:uid="{D1E7C321-9538-4351-ADBF-3C788D5E5DC9}" name="Role" dataDxfId="130"/>
    <tableColumn id="2" xr3:uid="{0CD8D1A5-39EC-42FD-8D58-10D5B4C6B7EA}" name="Role Title" dataDxfId="129" dataCellStyle="Input"/>
    <tableColumn id="3" xr3:uid="{5803669E-7025-49C3-9F94-E3C6C3828FF5}" name="Role to _x000a_Resource Mapping" dataDxfId="128" dataCellStyle="Input"/>
    <tableColumn id="4" xr3:uid="{391D4CA3-5B00-4DAC-976A-5A54AA96D084}" name="Role to Functional Area Mapping" dataCellStyle="Input"/>
    <tableColumn id="5" xr3:uid="{436D5808-0FF3-45D1-9438-E430DD2D25C2}" name="Resource Type" dataDxfId="127" dataCellStyle="Input"/>
    <tableColumn id="6" xr3:uid="{FCC7DF08-D440-4B60-B248-77B74AB4AF51}" name="Resource Notes and Proposed Individual" dataDxfId="126" dataCellStyle="Input"/>
    <tableColumn id="7" xr3:uid="{50912F75-44F2-48EA-8F5B-DC2EC443062D}" name="Total Hours" dataDxfId="125" dataCellStyle="Output">
      <calculatedColumnFormula>SUM(R19:AT19)</calculatedColumnFormula>
    </tableColumn>
    <tableColumn id="8" xr3:uid="{39D0FEF4-5C04-4231-8E0C-460C7EC57D0F}" name="List Rate" dataDxfId="124" dataCellStyle="Output">
      <calculatedColumnFormula>IFERROR(VLOOKUP(D19,Rates!$A$2:$C$26,3,TRUE),"-")</calculatedColumnFormula>
    </tableColumn>
    <tableColumn id="9" xr3:uid="{932865FA-CE71-417F-80CD-0A45B0685023}" name="Bill Rate" dataDxfId="123" dataCellStyle="Input">
      <calculatedColumnFormula>J19</calculatedColumnFormula>
    </tableColumn>
    <tableColumn id="10" xr3:uid="{58F55F21-6F9D-4BFF-87A7-D18622F68292}" name="Cost Rate" dataDxfId="122" dataCellStyle="Output">
      <calculatedColumnFormula>IFERROR(VLOOKUP(D19,Rates!$A$2:$C$26,2,TRUE),"-")</calculatedColumnFormula>
    </tableColumn>
    <tableColumn id="11" xr3:uid="{600782E8-4A45-4EF2-978A-6D8DE5CE49B2}" name="Revenue" dataDxfId="121" dataCellStyle="Output">
      <calculatedColumnFormula array="1">IF(Table1[[#This Row],[Total Hours]]=0,"-",SUMPRODUCT(Table1[[#This Row],[WK0]:[WK45]], Table1[[#This Row],[Bill Rate]]*IF(COLUMN(Table1[[#This Row],[WK0]:[WK45]])-COLUMN(Table1[[#This Row],[WK0]])&gt;=$D$5, 1+$D$4, 1)))</calculatedColumnFormula>
    </tableColumn>
    <tableColumn id="12" xr3:uid="{CAA50893-772A-4AEE-A3A4-22AFEFC22DD0}" name="Delivery Cost" dataDxfId="120" dataCellStyle="Output">
      <calculatedColumnFormula array="1">IF(Table1[[#This Row],[Total Hours]]=0,"-",SUMPRODUCT(Table1[[#This Row],[WK0]:[WK45]], Table1[[#This Row],[Cost Rate]]*IF(COLUMN(Table1[[#This Row],[WK0]:[WK45]])-COLUMN(Table1[[#This Row],[WK0]])&gt;=$D$5, 1+$D$4, 1)))</calculatedColumnFormula>
    </tableColumn>
    <tableColumn id="13" xr3:uid="{7EAB1330-6C6E-4B12-BE47-72F2D66BCA8D}" name="Sold Margin %" dataDxfId="119" dataCellStyle="Output">
      <calculatedColumnFormula>IFERROR((M19-N19)/M19,"-")</calculatedColumnFormula>
    </tableColumn>
    <tableColumn id="14" xr3:uid="{E9402C79-7D8A-4FEA-A065-723C2381A006}" name="Discount_x000a_(Premium)%" dataDxfId="118" dataCellStyle="Output">
      <calculatedColumnFormula>IFERROR((J19-K19)/J19,0)</calculatedColumnFormula>
    </tableColumn>
    <tableColumn id="15" xr3:uid="{2E33E6E3-E116-4B73-8644-FC2759BB0A73}" name="Total_x000a_Allocation %" dataDxfId="117" dataCellStyle="Percent">
      <calculatedColumnFormula>IFERROR(M19/$B$7,0)</calculatedColumnFormula>
    </tableColumn>
    <tableColumn id="16" xr3:uid="{32760199-C440-4482-A1E6-6D56D00F3AEC}" name="WK0" dataDxfId="116" dataCellStyle="Input"/>
    <tableColumn id="17" xr3:uid="{2ACE3A18-AEB7-45A2-A1C8-1D8DA213A082}" name="WK1" dataDxfId="115" dataCellStyle="Input"/>
    <tableColumn id="18" xr3:uid="{BAD2DE78-509E-4216-81B1-73B4D05E270F}" name="WK2" dataDxfId="114" dataCellStyle="Input"/>
    <tableColumn id="19" xr3:uid="{F02F6E6D-21B9-49F4-9B8B-AB8F713DFA66}" name="WK3" dataDxfId="113" dataCellStyle="Input"/>
    <tableColumn id="20" xr3:uid="{7A9F1F77-DAAA-417D-AE04-51D6E48AA29C}" name="WK4" dataDxfId="112" dataCellStyle="Input"/>
    <tableColumn id="21" xr3:uid="{47370E1D-96EC-406B-9D5D-08574C32289C}" name="WK5" dataDxfId="111" dataCellStyle="Input"/>
    <tableColumn id="22" xr3:uid="{7CEBAF28-E028-473F-9BF0-D3028A0F3810}" name="WK6" dataDxfId="110" dataCellStyle="Input"/>
    <tableColumn id="23" xr3:uid="{9F7FD640-0671-4DB8-B6D6-37E057EC8B52}" name="WK7" dataDxfId="109" dataCellStyle="Input"/>
    <tableColumn id="24" xr3:uid="{6A6DD4DE-FE20-44C3-94AE-A954AABD2410}" name="WK8" dataDxfId="108" dataCellStyle="Input"/>
    <tableColumn id="25" xr3:uid="{41A6F57B-207F-478C-B39C-A9BB909B70C8}" name="WK9" dataDxfId="107" dataCellStyle="Input"/>
    <tableColumn id="26" xr3:uid="{CB48236C-DE6E-45E6-ADF7-91329C813C7C}" name="WK10" dataDxfId="106" dataCellStyle="Input"/>
    <tableColumn id="27" xr3:uid="{E4F0F158-2E08-4A99-B030-94E1CBB73B0B}" name="WK11" dataDxfId="105" dataCellStyle="Input"/>
    <tableColumn id="28" xr3:uid="{B020E41D-E37E-4E24-AD97-A9F8CCE462D2}" name="WK12" dataDxfId="104" dataCellStyle="Input"/>
    <tableColumn id="29" xr3:uid="{ABE9D622-B499-4EC1-BE92-C9B77071C416}" name="WK13" dataDxfId="103" dataCellStyle="Input"/>
    <tableColumn id="30" xr3:uid="{1CF3B213-331C-4C76-8F83-7618CF7784E4}" name="WK14" dataDxfId="102" dataCellStyle="Input"/>
    <tableColumn id="31" xr3:uid="{D7E6AAFF-3E18-4D91-981E-767019AA64B1}" name="WK15" dataDxfId="101" dataCellStyle="Input"/>
    <tableColumn id="32" xr3:uid="{F474DF45-81D2-4F30-8C05-8113322A021F}" name="WK16" dataDxfId="100" dataCellStyle="Input"/>
    <tableColumn id="33" xr3:uid="{953FDD42-2B45-443A-9CBC-BFF99990C793}" name="WK17" dataDxfId="99" dataCellStyle="Input"/>
    <tableColumn id="34" xr3:uid="{7C1272B1-C2B7-416F-97BC-A8DC52764F83}" name="WK18" dataDxfId="98" dataCellStyle="Input"/>
    <tableColumn id="35" xr3:uid="{A612DC8F-DD3A-40D7-928E-B97D089DA969}" name="WK19" dataDxfId="97" dataCellStyle="Input"/>
    <tableColumn id="36" xr3:uid="{8104A4ED-E1AF-4CBD-ACC3-BDCD19AEFB5C}" name="WK20" dataDxfId="96" dataCellStyle="Input"/>
    <tableColumn id="37" xr3:uid="{6B8C73D9-3B06-451F-B490-E8E2E1D2E83A}" name="WK21" dataDxfId="95" dataCellStyle="Input"/>
    <tableColumn id="38" xr3:uid="{1B86A8C1-8949-4FB0-B6B6-AAE859BA336C}" name="WK22" dataDxfId="94" dataCellStyle="Input"/>
    <tableColumn id="39" xr3:uid="{9B13E55E-0A50-44C6-BB63-EFE74E23DE73}" name="WK23" dataDxfId="93" dataCellStyle="Input"/>
    <tableColumn id="40" xr3:uid="{FE864CAB-3224-472A-9867-445284C344C4}" name="WK24" dataDxfId="92" dataCellStyle="Input"/>
    <tableColumn id="41" xr3:uid="{D5B6C6F8-95EA-42B1-9092-AEEA61C0DB60}" name="WK25" dataDxfId="91" dataCellStyle="Input"/>
    <tableColumn id="42" xr3:uid="{A8434448-6C8C-45C5-B1E2-26CA12608549}" name="WK26" dataDxfId="90" dataCellStyle="Input"/>
    <tableColumn id="44" xr3:uid="{6012E3A2-12C8-498A-84D0-5E7124C91D91}" name="WK27" dataDxfId="89" dataCellStyle="Input"/>
    <tableColumn id="43" xr3:uid="{95772AE8-24C4-4305-9D52-F5A90A075AE2}" name="WK28" dataDxfId="88" dataCellStyle="Input"/>
    <tableColumn id="45" xr3:uid="{14386484-D302-4951-877C-F960479FFD9E}" name="WK29" dataDxfId="87" dataCellStyle="Input"/>
    <tableColumn id="46" xr3:uid="{41FB7532-1E51-4174-8C17-9AC9DF4803F3}" name="WK30" dataDxfId="86" dataCellStyle="Input"/>
    <tableColumn id="47" xr3:uid="{CAC64C48-E104-4A3B-898F-CAAC1A473A85}" name="WK31" dataDxfId="85" dataCellStyle="Input"/>
    <tableColumn id="48" xr3:uid="{2037022B-1B54-4EF0-A93D-D1EF5A028125}" name="WK32" dataDxfId="84" dataCellStyle="Input"/>
    <tableColumn id="49" xr3:uid="{990AE946-ABD4-422C-9739-AA5D417866EF}" name="WK33" dataDxfId="83" dataCellStyle="Input"/>
    <tableColumn id="50" xr3:uid="{E74DAD0C-26F1-4CE9-820C-3FF91FE2D2B9}" name="WK34" dataDxfId="82" dataCellStyle="Input"/>
    <tableColumn id="51" xr3:uid="{30A01210-BBB8-449E-B407-4E143E385ABA}" name="WK35" dataDxfId="81" dataCellStyle="Input"/>
    <tableColumn id="52" xr3:uid="{94FCF832-270F-4B05-8B72-4B6222EA682D}" name="WK36" dataDxfId="80" dataCellStyle="Input"/>
    <tableColumn id="53" xr3:uid="{D4C3206B-17C1-4CC3-B3F3-B65B6ABF5097}" name="WK37" dataDxfId="79" dataCellStyle="Input"/>
    <tableColumn id="54" xr3:uid="{BFCD762F-BD71-4B17-9BAB-8301D1C4B640}" name="WK38" dataDxfId="78" dataCellStyle="Input"/>
    <tableColumn id="55" xr3:uid="{F43EB331-C6D2-4E47-BE10-19CC4B324F20}" name="WK39" dataDxfId="77" dataCellStyle="Input"/>
    <tableColumn id="56" xr3:uid="{BA197920-18F4-459F-9E54-CECB794293A2}" name="WK40" dataDxfId="76" dataCellStyle="Input"/>
    <tableColumn id="57" xr3:uid="{7E35580E-CE52-4F23-8557-0F17579900BD}" name="WK41" dataDxfId="75" dataCellStyle="Input"/>
    <tableColumn id="58" xr3:uid="{A2F646F4-F9F7-474F-9F7A-B73D44BD52FB}" name="WK42" dataDxfId="74" dataCellStyle="Input"/>
    <tableColumn id="59" xr3:uid="{B52D96B8-E6F0-4E5C-BF57-30344E2ACB7C}" name="WK43" dataDxfId="73" dataCellStyle="Input"/>
    <tableColumn id="60" xr3:uid="{B8BE2975-727E-467A-9F94-56F91A3F18EA}" name="WK44" dataDxfId="72" dataCellStyle="Input"/>
    <tableColumn id="61" xr3:uid="{1DF2D948-666B-4267-845B-A3DCE84CE4AD}" name="WK45" dataDxfId="71" dataCellStyle="Inpu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CBBF3CB-A7E9-45F7-A23B-B611A7A85D99}" name="Table13" displayName="Table13" ref="C18:BF50" totalsRowShown="0" headerRowDxfId="57" dataDxfId="56" tableBorderDxfId="55" dataCellStyle="Input">
  <autoFilter ref="C18:BF50" xr:uid="{F67364D6-02D4-496C-B47A-BC41092BF1F5}"/>
  <tableColumns count="56">
    <tableColumn id="1" xr3:uid="{716E9092-6BC3-409F-A469-870838766BE0}" name="Role" dataDxfId="54"/>
    <tableColumn id="2" xr3:uid="{67234684-0DA1-4B94-94E7-EEAC087AA595}" name="Role Title" dataDxfId="53" dataCellStyle="Input"/>
    <tableColumn id="3" xr3:uid="{1CCBBC98-BD0C-4AFB-BD9E-313A820F4780}" name="Role to _x000a_Resource Mapping" dataDxfId="52" dataCellStyle="Input"/>
    <tableColumn id="4" xr3:uid="{3F5D6F53-13C7-43B8-BD72-7BCBA936D777}" name="Role to Functional Area Mapping" dataCellStyle="Input"/>
    <tableColumn id="5" xr3:uid="{68D64F48-EB8F-4539-8764-58214DEF3355}" name="Resource Type" dataDxfId="51" dataCellStyle="Input"/>
    <tableColumn id="6" xr3:uid="{D1058123-8756-43D4-858B-523D450B0E16}" name="Resource Notes and Proposed Individual" dataDxfId="50" dataCellStyle="Input"/>
    <tableColumn id="7" xr3:uid="{FEAB2316-92BC-412B-AEC3-7A092196AE6B}" name="Total Hours" dataDxfId="49" dataCellStyle="Output">
      <calculatedColumnFormula>SUM(R19:AT19)</calculatedColumnFormula>
    </tableColumn>
    <tableColumn id="8" xr3:uid="{29E4A1D9-0DC0-4C72-A362-D468764F22BB}" name="List Rate" dataDxfId="48" dataCellStyle="Output">
      <calculatedColumnFormula>IFERROR(VLOOKUP(D19,Rates!$A$2:$C$26,3,TRUE),"-")</calculatedColumnFormula>
    </tableColumn>
    <tableColumn id="9" xr3:uid="{71874366-6222-4BE1-BB57-A0FB7F8BA81E}" name="Bill Rate" dataDxfId="47" dataCellStyle="Input">
      <calculatedColumnFormula>J19</calculatedColumnFormula>
    </tableColumn>
    <tableColumn id="10" xr3:uid="{D8AAE263-5645-4E8D-B368-AAB798648AC4}" name="Cost Rate" dataDxfId="46" dataCellStyle="Output">
      <calculatedColumnFormula>IFERROR(VLOOKUP(D19,Rates!$A$2:$C$26,2,TRUE),"-")</calculatedColumnFormula>
    </tableColumn>
    <tableColumn id="11" xr3:uid="{2A030665-3473-4FDE-9D2E-1572D6D06DA2}" name="Revenue" dataDxfId="45" dataCellStyle="Output">
      <calculatedColumnFormula>IF(I19=0,"-",K19*I19)</calculatedColumnFormula>
    </tableColumn>
    <tableColumn id="12" xr3:uid="{91A7DE14-1464-471B-AD31-136937A7386D}" name="Delivery Cost" dataDxfId="44" dataCellStyle="Output">
      <calculatedColumnFormula>IF(I19=0,"-",L19*I19)</calculatedColumnFormula>
    </tableColumn>
    <tableColumn id="13" xr3:uid="{0BF03A65-EE84-4ED0-A181-8F0AAA25C412}" name="Sold Margin %" dataDxfId="43" dataCellStyle="Output">
      <calculatedColumnFormula>IFERROR((M19-N19)/M19,"-")</calculatedColumnFormula>
    </tableColumn>
    <tableColumn id="14" xr3:uid="{BB7B30B4-2D4D-4D3E-A5DB-7D764043240B}" name="Discount_x000a_(Premium)%" dataDxfId="42" dataCellStyle="Output">
      <calculatedColumnFormula>IFERROR((J19-K19)/J19,0)</calculatedColumnFormula>
    </tableColumn>
    <tableColumn id="15" xr3:uid="{491999E9-7BE4-4860-8732-E98805CA1550}" name="Total_x000a_Allocation %" dataDxfId="41" dataCellStyle="Percent">
      <calculatedColumnFormula>IFERROR(M19/$B$7,0)</calculatedColumnFormula>
    </tableColumn>
    <tableColumn id="16" xr3:uid="{A2EDD4B9-8DC7-4D57-BB69-EAC93A94F45D}" name="WK0" dataDxfId="40" dataCellStyle="Input"/>
    <tableColumn id="17" xr3:uid="{4F70B4DF-010B-4F48-9B57-23AE98161A68}" name="WK1" dataDxfId="39" dataCellStyle="Input"/>
    <tableColumn id="18" xr3:uid="{194F45F9-B62A-46D0-9161-0483A0DB0C46}" name="WK2" dataDxfId="38" dataCellStyle="Input"/>
    <tableColumn id="19" xr3:uid="{3F49F2E2-F0FE-44F9-816C-DB6D52DDA2A1}" name="WK3" dataDxfId="37" dataCellStyle="Input"/>
    <tableColumn id="20" xr3:uid="{10611C21-82DB-46B2-A3AC-0B444A836ECE}" name="WK4" dataDxfId="36" dataCellStyle="Input"/>
    <tableColumn id="21" xr3:uid="{07BAB045-4C4A-4E90-A75F-BA12FEDB35E6}" name="WK5" dataDxfId="35" dataCellStyle="Input"/>
    <tableColumn id="22" xr3:uid="{530D2B7C-62B6-49CA-A880-6E7C6FC7CEF0}" name="WK6" dataDxfId="34" dataCellStyle="Input"/>
    <tableColumn id="23" xr3:uid="{593FD22B-F327-4088-BB01-5EA3BA58E1AC}" name="WK7" dataDxfId="33" dataCellStyle="Input"/>
    <tableColumn id="24" xr3:uid="{448ED199-B3A6-4E84-93CE-1A858FB40BD0}" name="WK8" dataDxfId="32" dataCellStyle="Input"/>
    <tableColumn id="25" xr3:uid="{4C22276B-08D3-42AA-AEB4-ECCC07259814}" name="WK9" dataDxfId="31" dataCellStyle="Input"/>
    <tableColumn id="26" xr3:uid="{C87CAE63-FFD7-4AD4-AF9B-E270DD89FDBE}" name="WK10" dataDxfId="30" dataCellStyle="Input"/>
    <tableColumn id="27" xr3:uid="{445F9730-6F3B-49B1-9E9B-D87FA13F76A7}" name="WK11" dataDxfId="29" dataCellStyle="Input"/>
    <tableColumn id="28" xr3:uid="{9C039F71-5A65-4F92-AFD8-77F05F986F3F}" name="WK12" dataDxfId="28" dataCellStyle="Input"/>
    <tableColumn id="29" xr3:uid="{99ECF2E9-FC5E-42D6-B6C7-D478C58EA3C1}" name="WK13" dataDxfId="27" dataCellStyle="Input"/>
    <tableColumn id="30" xr3:uid="{EAFDB5B3-A9EC-4FDE-83F7-792523D5B9D7}" name="WK14" dataDxfId="26" dataCellStyle="Input"/>
    <tableColumn id="31" xr3:uid="{3435CA6C-CEDB-470A-BA9C-F0D7CCE272D2}" name="WK15" dataDxfId="25" dataCellStyle="Input"/>
    <tableColumn id="32" xr3:uid="{239B4BA1-4F26-4DDE-8935-205DC1A2C73F}" name="WK16" dataDxfId="24" dataCellStyle="Input"/>
    <tableColumn id="33" xr3:uid="{93578CF4-2532-4D91-841D-3B6610A17D88}" name="WK17" dataDxfId="23" dataCellStyle="Input"/>
    <tableColumn id="34" xr3:uid="{A53D052E-27D7-4443-AA04-F942A4596B0A}" name="WK18" dataDxfId="22" dataCellStyle="Input"/>
    <tableColumn id="35" xr3:uid="{64C86FC3-8DBD-4A33-86DC-D595D689467A}" name="WK19" dataDxfId="21" dataCellStyle="Input"/>
    <tableColumn id="36" xr3:uid="{B5DC7803-B5C2-4C25-9833-778A10124416}" name="WK20" dataDxfId="20" dataCellStyle="Input"/>
    <tableColumn id="37" xr3:uid="{23A6F1C8-6518-4388-B7EA-5C9BD79B3B5D}" name="WK21" dataDxfId="19" dataCellStyle="Input"/>
    <tableColumn id="38" xr3:uid="{4CA5BB3A-438C-4A7C-8EBC-E1B99E7CF1CE}" name="WK22" dataDxfId="18" dataCellStyle="Input"/>
    <tableColumn id="39" xr3:uid="{304D43EC-E98D-49A5-ACCD-A67DF9F8F3AB}" name="WK23" dataDxfId="17" dataCellStyle="Input"/>
    <tableColumn id="40" xr3:uid="{6BBAA4D8-153B-4590-BEB1-EF51570A726D}" name="WK24" dataDxfId="16" dataCellStyle="Input"/>
    <tableColumn id="41" xr3:uid="{8E96B86B-334E-484F-A8C1-612770D2A7CF}" name="WK25" dataDxfId="15" dataCellStyle="Input"/>
    <tableColumn id="42" xr3:uid="{D33424B0-D599-4C62-A7BE-753641BB1A5D}" name="WK26" dataDxfId="14" dataCellStyle="Input"/>
    <tableColumn id="44" xr3:uid="{C013AC73-C3FC-45FE-802C-EBEC4A00136F}" name="WK27" dataDxfId="13" dataCellStyle="Input"/>
    <tableColumn id="43" xr3:uid="{14D51945-42B5-41C0-A6F6-CF3C5ED966B5}" name="WK28" dataDxfId="12" dataCellStyle="Input"/>
    <tableColumn id="45" xr3:uid="{A128FBA2-ABBD-4A8B-B217-2B9056747EEA}" name="WK29" dataDxfId="11" dataCellStyle="Input"/>
    <tableColumn id="46" xr3:uid="{918B4C55-E4BD-42E9-A6F7-CC3FD3E2F4BC}" name="WK30" dataDxfId="10" dataCellStyle="Input"/>
    <tableColumn id="47" xr3:uid="{6AA99B42-C181-4B26-8F0B-A2AB14B19B22}" name="WK31" dataDxfId="9" dataCellStyle="Input"/>
    <tableColumn id="48" xr3:uid="{FFBDCDBF-F832-4148-B808-8EE5FC97F1F6}" name="WK32" dataDxfId="8" dataCellStyle="Input"/>
    <tableColumn id="49" xr3:uid="{50CF1DFB-1B63-4F02-B2A4-1209C7979642}" name="WK33" dataDxfId="7" dataCellStyle="Input"/>
    <tableColumn id="50" xr3:uid="{908F6582-7695-4E7D-BD52-7C2DA84CA109}" name="WK34" dataDxfId="6" dataCellStyle="Input"/>
    <tableColumn id="51" xr3:uid="{77E12A9B-14C1-4416-8DA4-6E7881562E79}" name="WK35" dataDxfId="5" dataCellStyle="Input"/>
    <tableColumn id="52" xr3:uid="{14B985A8-56FC-462F-85A3-AD36CF523CB7}" name="WK36" dataDxfId="4" dataCellStyle="Input"/>
    <tableColumn id="53" xr3:uid="{A9A50D03-7668-449C-9415-C18D8683AA3A}" name="WK37" dataDxfId="3" dataCellStyle="Input"/>
    <tableColumn id="54" xr3:uid="{9D101E29-298E-4B5A-9580-317AE5D8103A}" name="WK38" dataDxfId="2" dataCellStyle="Input"/>
    <tableColumn id="55" xr3:uid="{DEE539BF-6B07-4552-B425-D200F37D7128}" name="WK39" dataDxfId="1" dataCellStyle="Input"/>
    <tableColumn id="56" xr3:uid="{6ABBDECF-968E-4CE1-BEAA-DAE0C6E74C25}" name="WK40" dataDxfId="0" dataCellStyle="Inpu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R22" dT="2026-05-12T12:17:23.37" personId="{A2D0A6F6-F8C1-4E99-A545-F286BC14AFD0}" id="{66C881D7-2E5D-4082-9735-B0F37B8A4A9E}">
    <text>Modified from 0</text>
  </threadedComment>
  <threadedComment ref="C27" dT="2026-06-05T18:48:20.38" personId="{A2D0A6F6-F8C1-4E99-A545-F286BC14AFD0}" id="{07B917E9-C48C-4698-AD67-B25759CF625E}">
    <text>Should this row be blank?</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ka.ms/InfoSecDCPSEstimator" TargetMode="External"/><Relationship Id="rId1" Type="http://schemas.openxmlformats.org/officeDocument/2006/relationships/hyperlink" Target="https://apps.powerapps.com/play/e/9c331628-968f-e055-9ca7-99aabd670808/a/8146be04-0344-480c-9b44-4e421fb56ce6?tenantId=72f988bf-86f1-41af-91ab-2d7cd011db47&amp;amp;hint=484515ee-7a7c-4539-9d8f-44ecba3fa055&amp;amp;sourcetime=1704257217097&amp;amp;source=portal&amp;source=teamsLinkUnfurling" TargetMode="External"/><Relationship Id="rId6" Type="http://schemas.openxmlformats.org/officeDocument/2006/relationships/comments" Target="../comments1.xml"/><Relationship Id="rId5" Type="http://schemas.openxmlformats.org/officeDocument/2006/relationships/table" Target="../tables/table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hyperlink" Target="../../../../:v:/t/ISDSWRMPursuitManagement/Efc2G_ax0dxFkxcumh-8_BABaXkhIA7bbINbR-pLaUcNsA?nav=eyJyZWZlcnJhbEluZm8iOnsicmVmZXJyYWxBcHAiOiJTdHJlYW1XZWJBcHAiLCJyZWZlcnJhbFZpZXciOiJTaGFyZURpYWxvZy1MaW5rIiwicmVmZXJyYWxBcHBQbGF0Zm9ybSI6IldlYiIsInJlZmVycmFsTW9kZSI6InZpZXcifX0%3D&amp;e=nCjFz8" TargetMode="Externa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8" Type="http://schemas.microsoft.com/office/2017/10/relationships/threadedComment" Target="../threadedComments/threadedComment1.xml"/><Relationship Id="rId3" Type="http://schemas.openxmlformats.org/officeDocument/2006/relationships/printerSettings" Target="../printerSettings/printerSettings3.bin"/><Relationship Id="rId7" Type="http://schemas.openxmlformats.org/officeDocument/2006/relationships/comments" Target="../comments4.xml"/><Relationship Id="rId2" Type="http://schemas.openxmlformats.org/officeDocument/2006/relationships/hyperlink" Target="https://aka.ms/InfoSecDCPSEstimator" TargetMode="External"/><Relationship Id="rId1" Type="http://schemas.openxmlformats.org/officeDocument/2006/relationships/hyperlink" Target="https://apps.powerapps.com/play/e/9c331628-968f-e055-9ca7-99aabd670808/a/8146be04-0344-480c-9b44-4e421fb56ce6?tenantId=72f988bf-86f1-41af-91ab-2d7cd011db47&amp;amp;hint=484515ee-7a7c-4539-9d8f-44ecba3fa055&amp;amp;sourcetime=1704257217097&amp;amp;source=portal&amp;source=teamsLinkUnfurling" TargetMode="External"/><Relationship Id="rId6" Type="http://schemas.openxmlformats.org/officeDocument/2006/relationships/table" Target="../tables/table2.xml"/><Relationship Id="rId5" Type="http://schemas.openxmlformats.org/officeDocument/2006/relationships/vmlDrawing" Target="../drawings/vmlDrawing4.vml"/><Relationship Id="rId4"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B9421-1C9B-47A5-98D6-149580AF21F5}">
  <dimension ref="A2:BK85"/>
  <sheetViews>
    <sheetView topLeftCell="B20" zoomScaleNormal="100" workbookViewId="0">
      <selection activeCell="B28" sqref="B28"/>
    </sheetView>
  </sheetViews>
  <sheetFormatPr defaultColWidth="9.140625" defaultRowHeight="14.25" customHeight="1" outlineLevelRow="1" outlineLevelCol="1"/>
  <cols>
    <col min="1" max="1" width="16.85546875" style="3" customWidth="1"/>
    <col min="2" max="2" width="19.7109375" style="3" customWidth="1"/>
    <col min="3" max="3" width="33.7109375" style="3" customWidth="1"/>
    <col min="4" max="4" width="34.42578125" style="3" customWidth="1"/>
    <col min="5" max="5" width="31.28515625" style="3" customWidth="1"/>
    <col min="6" max="6" width="32.28515625" style="3" customWidth="1"/>
    <col min="7" max="7" width="17.140625" style="3" customWidth="1" outlineLevel="1"/>
    <col min="8" max="8" width="36.5703125" style="3" customWidth="1" outlineLevel="1"/>
    <col min="9" max="9" width="14.85546875" style="3" customWidth="1"/>
    <col min="10" max="17" width="14.85546875" style="3" customWidth="1" outlineLevel="1"/>
    <col min="18" max="46" width="11.7109375" style="3" customWidth="1"/>
    <col min="47" max="16384" width="9.140625" style="3"/>
  </cols>
  <sheetData>
    <row r="2" spans="1:9" ht="14.25" hidden="1" customHeight="1" outlineLevel="1">
      <c r="A2" s="32" t="s">
        <v>0</v>
      </c>
      <c r="B2" s="23"/>
    </row>
    <row r="3" spans="1:9" ht="14.25" hidden="1" customHeight="1" outlineLevel="1">
      <c r="A3" s="32" t="s">
        <v>1</v>
      </c>
      <c r="B3" s="23"/>
    </row>
    <row r="4" spans="1:9" ht="14.25" hidden="1" customHeight="1" outlineLevel="1">
      <c r="A4" s="32" t="s">
        <v>2</v>
      </c>
      <c r="B4" s="33"/>
      <c r="C4" s="115" t="s">
        <v>3</v>
      </c>
      <c r="D4" s="29"/>
    </row>
    <row r="5" spans="1:9" ht="14.25" hidden="1" customHeight="1" outlineLevel="1">
      <c r="A5" s="32" t="s">
        <v>4</v>
      </c>
      <c r="B5" s="25"/>
      <c r="C5" s="115" t="s">
        <v>5</v>
      </c>
      <c r="D5" s="23"/>
      <c r="H5" s="7"/>
    </row>
    <row r="6" spans="1:9" ht="14.25" hidden="1" customHeight="1" outlineLevel="1">
      <c r="A6" s="32" t="str">
        <f>IF($B$5=0,"No Price to Win",IF($B$7&gt;$B$5,"Over Price To Win by ","Under Price To Win by "))</f>
        <v>No Price to Win</v>
      </c>
      <c r="B6" s="77" t="str">
        <f>IF($B$5=0,"-",$B$7-$B$5)</f>
        <v>-</v>
      </c>
      <c r="C6" s="32" t="s">
        <v>6</v>
      </c>
      <c r="D6" s="79">
        <f>SUMPRODUCT(O20:O69,Q20:Q69)</f>
        <v>0.21625475554501308</v>
      </c>
      <c r="F6" s="7" t="s">
        <v>7</v>
      </c>
    </row>
    <row r="7" spans="1:9" ht="14.25" hidden="1" customHeight="1" outlineLevel="1">
      <c r="A7" s="32" t="s">
        <v>8</v>
      </c>
      <c r="B7" s="78">
        <f>SUMIF(M20:M69,"&gt;0")</f>
        <v>6506840</v>
      </c>
      <c r="C7" s="32" t="s">
        <v>9</v>
      </c>
      <c r="D7" s="79">
        <f>D6-0.267</f>
        <v>-5.0745244454986932E-2</v>
      </c>
      <c r="E7" s="90" t="str" cm="1">
        <f t="array" ref="E7:E11">Helper3!A2:A6</f>
        <v>Infrastructure</v>
      </c>
      <c r="F7" s="3" cm="1">
        <f t="array" ref="F7">IFERROR(SUM(_xlfn._xlws.FILTER($R$20:$AT$69,$F$20:$F$69=E7)),0)</f>
        <v>4856</v>
      </c>
    </row>
    <row r="8" spans="1:9" ht="14.25" hidden="1" customHeight="1" outlineLevel="1">
      <c r="A8" s="32" t="s">
        <v>10</v>
      </c>
      <c r="B8" s="78">
        <f>SUMIF(N21:N70,"&gt;0")</f>
        <v>5056635.5945039457</v>
      </c>
      <c r="C8" s="32" t="s">
        <v>11</v>
      </c>
      <c r="D8" s="80">
        <f>'Staffing Plan'!D19</f>
        <v>0.1379840291139785</v>
      </c>
      <c r="E8" s="90" t="str">
        <v>AI</v>
      </c>
      <c r="F8" s="3" cm="1">
        <f t="array" ref="F8">IFERROR(SUM(_xlfn._xlws.FILTER($R$20:$AT$69,$F$20:$F$69=E8)),0)</f>
        <v>6024</v>
      </c>
    </row>
    <row r="9" spans="1:9" ht="14.25" hidden="1" customHeight="1" outlineLevel="1">
      <c r="C9" s="32" t="s">
        <v>12</v>
      </c>
      <c r="D9" s="81">
        <f ca="1">SUMIF(G20:I69,"Partner",Q20:Q25)</f>
        <v>0</v>
      </c>
      <c r="E9" s="90" t="str">
        <v>Development</v>
      </c>
      <c r="F9" s="3" cm="1">
        <f t="array" ref="F9">IFERROR(SUM(_xlfn._xlws.FILTER($R$20:$AT$69,$F$20:$F$69=E9)),0)</f>
        <v>5280</v>
      </c>
    </row>
    <row r="10" spans="1:9" ht="14.25" hidden="1" customHeight="1" outlineLevel="1">
      <c r="A10" s="32" t="s">
        <v>13</v>
      </c>
      <c r="B10" s="78" t="str">
        <f>CONCATENATE(TEXT(B15*B7,"$#,##0" )," at ", TEXT('Staffing Plan'!B15,"0%"))</f>
        <v>$0 at 0%</v>
      </c>
      <c r="C10" s="32" t="s">
        <v>14</v>
      </c>
      <c r="D10" s="82">
        <f>SUM(I20:I69)</f>
        <v>25594</v>
      </c>
      <c r="E10" s="90" t="str">
        <v>Security</v>
      </c>
      <c r="F10" s="3" cm="1">
        <f t="array" ref="F10">IFERROR(SUM(_xlfn._xlws.FILTER($R$20:$AT$69,$F$20:$F$69=E10)),0)</f>
        <v>240</v>
      </c>
    </row>
    <row r="11" spans="1:9" ht="14.25" hidden="1" customHeight="1" outlineLevel="1">
      <c r="A11" s="32" t="s">
        <v>15</v>
      </c>
      <c r="B11" s="78">
        <f>'Staffing Plan'!B14</f>
        <v>0</v>
      </c>
      <c r="C11" s="32" t="s">
        <v>16</v>
      </c>
      <c r="D11" s="83" t="str">
        <f>CONCATENATE("Low: $",CEILING(B7,1000)," - High: $",CEILING((B7*1.2),1000))</f>
        <v>Low: $6507000 - High: $7809000</v>
      </c>
      <c r="E11" s="90" t="str">
        <v>ASCM</v>
      </c>
      <c r="F11" s="3" cm="1">
        <f t="array" ref="F11">IFERROR(SUM(_xlfn._xlws.FILTER($R$20:$AT$69,$F$20:$F$69=E11)),0)</f>
        <v>0</v>
      </c>
    </row>
    <row r="12" spans="1:9" ht="14.25" hidden="1" customHeight="1" outlineLevel="1"/>
    <row r="13" spans="1:9" ht="14.25" hidden="1" customHeight="1" outlineLevel="1">
      <c r="A13" s="86" t="s">
        <v>17</v>
      </c>
      <c r="B13" s="16"/>
      <c r="C13" s="87" t="s">
        <v>18</v>
      </c>
      <c r="D13" s="15"/>
      <c r="E13" s="15"/>
      <c r="F13" s="15"/>
      <c r="G13" s="15"/>
      <c r="H13" s="15"/>
      <c r="I13" s="15"/>
    </row>
    <row r="14" spans="1:9" ht="14.1" hidden="1" customHeight="1" outlineLevel="1">
      <c r="A14" s="17" t="s">
        <v>19</v>
      </c>
      <c r="B14" s="23"/>
      <c r="C14" s="176" t="s">
        <v>20</v>
      </c>
      <c r="D14" s="180"/>
      <c r="E14" s="177" t="s">
        <v>21</v>
      </c>
      <c r="F14" s="177"/>
      <c r="G14" s="177"/>
      <c r="H14" s="177"/>
      <c r="I14" s="177"/>
    </row>
    <row r="15" spans="1:9" ht="14.1" hidden="1" customHeight="1" outlineLevel="1">
      <c r="A15" s="17" t="s">
        <v>22</v>
      </c>
      <c r="B15" s="29"/>
      <c r="C15" s="176" t="s">
        <v>23</v>
      </c>
      <c r="D15" s="180"/>
      <c r="E15" s="178" t="s">
        <v>24</v>
      </c>
      <c r="F15" s="178"/>
      <c r="G15" s="178"/>
      <c r="H15" s="178"/>
      <c r="I15" s="178"/>
    </row>
    <row r="16" spans="1:9" ht="14.1" hidden="1" customHeight="1" outlineLevel="1">
      <c r="A16" s="17"/>
      <c r="B16" s="18"/>
      <c r="C16" s="18"/>
      <c r="D16" s="18"/>
      <c r="E16" s="18"/>
      <c r="F16" s="18"/>
      <c r="G16" s="18"/>
      <c r="H16" s="18"/>
      <c r="I16" s="18"/>
    </row>
    <row r="17" spans="3:63" s="1" customFormat="1" ht="16.5" customHeight="1" collapsed="1">
      <c r="R17" s="55" t="s">
        <v>25</v>
      </c>
      <c r="S17" s="175" t="s">
        <v>26</v>
      </c>
      <c r="T17" s="179"/>
      <c r="U17" s="175" t="s">
        <v>27</v>
      </c>
      <c r="V17" s="179"/>
      <c r="W17" s="175" t="s">
        <v>28</v>
      </c>
      <c r="X17" s="179"/>
      <c r="Y17" s="175" t="s">
        <v>29</v>
      </c>
      <c r="Z17" s="179"/>
      <c r="AA17" s="175" t="s">
        <v>30</v>
      </c>
      <c r="AB17" s="179"/>
      <c r="AC17" s="175" t="s">
        <v>31</v>
      </c>
      <c r="AD17" s="179"/>
      <c r="AE17" s="118"/>
      <c r="AF17" s="118"/>
      <c r="AG17" s="118"/>
      <c r="AH17" s="118"/>
      <c r="AI17" s="118"/>
      <c r="AJ17" s="118"/>
      <c r="AK17" s="118"/>
      <c r="AL17" s="118"/>
      <c r="AM17" s="118"/>
      <c r="AN17" s="118"/>
      <c r="AO17" s="118"/>
      <c r="AP17" s="118"/>
      <c r="AQ17" s="118"/>
      <c r="AR17" s="118"/>
      <c r="AS17" s="118"/>
      <c r="AT17" s="119"/>
      <c r="AU17" s="119"/>
      <c r="AV17" s="119"/>
      <c r="AW17" s="119"/>
      <c r="AX17" s="119"/>
      <c r="AY17" s="119"/>
      <c r="AZ17" s="119"/>
      <c r="BA17" s="119"/>
      <c r="BB17" s="119"/>
      <c r="BC17" s="119"/>
      <c r="BD17" s="119"/>
      <c r="BE17" s="119"/>
      <c r="BF17" s="119"/>
      <c r="BG17" s="119"/>
      <c r="BH17" s="119"/>
      <c r="BI17" s="119"/>
      <c r="BJ17" s="119"/>
      <c r="BK17" s="119"/>
    </row>
    <row r="18" spans="3:63" s="2" customFormat="1" ht="30">
      <c r="C18" s="100" t="s">
        <v>32</v>
      </c>
      <c r="D18" s="101" t="s">
        <v>33</v>
      </c>
      <c r="E18" s="102" t="s">
        <v>34</v>
      </c>
      <c r="F18" s="102" t="s">
        <v>35</v>
      </c>
      <c r="G18" s="101" t="s">
        <v>36</v>
      </c>
      <c r="H18" s="102" t="s">
        <v>37</v>
      </c>
      <c r="I18" s="101" t="s">
        <v>14</v>
      </c>
      <c r="J18" s="101" t="s">
        <v>38</v>
      </c>
      <c r="K18" s="103" t="s">
        <v>39</v>
      </c>
      <c r="L18" s="101" t="s">
        <v>40</v>
      </c>
      <c r="M18" s="101" t="s">
        <v>8</v>
      </c>
      <c r="N18" s="101" t="s">
        <v>41</v>
      </c>
      <c r="O18" s="101" t="s">
        <v>42</v>
      </c>
      <c r="P18" s="104" t="s">
        <v>43</v>
      </c>
      <c r="Q18" s="105" t="s">
        <v>44</v>
      </c>
      <c r="R18" s="100" t="s">
        <v>45</v>
      </c>
      <c r="S18" s="101" t="s">
        <v>46</v>
      </c>
      <c r="T18" s="101" t="s">
        <v>47</v>
      </c>
      <c r="U18" s="101" t="s">
        <v>48</v>
      </c>
      <c r="V18" s="101" t="s">
        <v>49</v>
      </c>
      <c r="W18" s="101" t="s">
        <v>50</v>
      </c>
      <c r="X18" s="101" t="s">
        <v>51</v>
      </c>
      <c r="Y18" s="101" t="s">
        <v>52</v>
      </c>
      <c r="Z18" s="101" t="s">
        <v>53</v>
      </c>
      <c r="AA18" s="101" t="s">
        <v>54</v>
      </c>
      <c r="AB18" s="101" t="s">
        <v>55</v>
      </c>
      <c r="AC18" s="101" t="s">
        <v>56</v>
      </c>
      <c r="AD18" s="101" t="s">
        <v>57</v>
      </c>
      <c r="AE18" s="101" t="s">
        <v>58</v>
      </c>
      <c r="AF18" s="101" t="s">
        <v>59</v>
      </c>
      <c r="AG18" s="101" t="s">
        <v>60</v>
      </c>
      <c r="AH18" s="101" t="s">
        <v>61</v>
      </c>
      <c r="AI18" s="101" t="s">
        <v>62</v>
      </c>
      <c r="AJ18" s="101" t="s">
        <v>63</v>
      </c>
      <c r="AK18" s="101" t="s">
        <v>64</v>
      </c>
      <c r="AL18" s="101" t="s">
        <v>65</v>
      </c>
      <c r="AM18" s="101" t="s">
        <v>66</v>
      </c>
      <c r="AN18" s="101" t="s">
        <v>67</v>
      </c>
      <c r="AO18" s="101" t="s">
        <v>68</v>
      </c>
      <c r="AP18" s="101" t="s">
        <v>69</v>
      </c>
      <c r="AQ18" s="101" t="s">
        <v>70</v>
      </c>
      <c r="AR18" s="101" t="s">
        <v>71</v>
      </c>
      <c r="AS18" s="103" t="s">
        <v>72</v>
      </c>
      <c r="AT18" s="103" t="s">
        <v>73</v>
      </c>
      <c r="AU18" s="103" t="s">
        <v>74</v>
      </c>
      <c r="AV18" s="103" t="s">
        <v>75</v>
      </c>
      <c r="AW18" s="103" t="s">
        <v>76</v>
      </c>
      <c r="AX18" s="103" t="s">
        <v>77</v>
      </c>
      <c r="AY18" s="103" t="s">
        <v>78</v>
      </c>
      <c r="AZ18" s="103" t="s">
        <v>79</v>
      </c>
      <c r="BA18" s="103" t="s">
        <v>80</v>
      </c>
      <c r="BB18" s="103" t="s">
        <v>81</v>
      </c>
      <c r="BC18" s="103" t="s">
        <v>82</v>
      </c>
      <c r="BD18" s="103" t="s">
        <v>83</v>
      </c>
      <c r="BE18" s="103" t="s">
        <v>84</v>
      </c>
      <c r="BF18" s="103" t="s">
        <v>85</v>
      </c>
      <c r="BG18" s="103" t="s">
        <v>86</v>
      </c>
      <c r="BH18" s="103" t="s">
        <v>87</v>
      </c>
      <c r="BI18" s="103" t="s">
        <v>88</v>
      </c>
      <c r="BJ18" s="103" t="s">
        <v>89</v>
      </c>
      <c r="BK18" s="101" t="s">
        <v>90</v>
      </c>
    </row>
    <row r="19" spans="3:63" s="2" customFormat="1" ht="15">
      <c r="C19" s="19" t="s">
        <v>91</v>
      </c>
      <c r="D19" s="28">
        <f>SUM(Q20:Q25)</f>
        <v>0.1379840291139785</v>
      </c>
      <c r="E19" s="19"/>
      <c r="F19" s="19"/>
      <c r="G19" s="19"/>
      <c r="H19" s="19"/>
      <c r="I19" s="19"/>
      <c r="J19" s="19"/>
      <c r="K19" s="19"/>
      <c r="L19" s="19"/>
      <c r="M19" s="19" t="str" cm="1">
        <f t="array" ref="M19">IF(Table1[[#This Row],[Total Hours]]=0,"-",SUMPRODUCT(Table1[[#This Row],[WK0]:[WK45]], Table1[[#This Row],[Bill Rate]]*IF(COLUMN(Table1[[#This Row],[WK0]:[WK45]])-COLUMN(Table1[[#This Row],[WK0]])&gt;=$D$5, 1+$D$4, 1)))</f>
        <v>-</v>
      </c>
      <c r="N19" s="19" t="str" cm="1">
        <f t="array" ref="N19">IF(Table1[[#This Row],[Total Hours]]=0,"-",SUMPRODUCT(Table1[[#This Row],[WK0]:[WK45]], Table1[[#This Row],[Cost Rate]]*IF(COLUMN(Table1[[#This Row],[WK0]:[WK45]])-COLUMN(Table1[[#This Row],[WK0]])&gt;=$D$5, 1+$D$4, 1)))</f>
        <v>-</v>
      </c>
      <c r="O19" s="19"/>
      <c r="P19" s="19"/>
      <c r="Q19" s="43"/>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20"/>
      <c r="AR19" s="20"/>
      <c r="AS19" s="19"/>
      <c r="AT19" s="19"/>
      <c r="AU19" s="23"/>
      <c r="AV19" s="23"/>
      <c r="AW19" s="23"/>
      <c r="AX19" s="23"/>
      <c r="AY19" s="23"/>
      <c r="AZ19" s="23"/>
      <c r="BA19" s="23"/>
      <c r="BB19" s="23"/>
      <c r="BC19" s="23"/>
      <c r="BD19" s="23"/>
      <c r="BE19" s="23"/>
      <c r="BF19" s="23"/>
      <c r="BG19" s="23"/>
      <c r="BH19" s="23"/>
      <c r="BI19" s="23"/>
      <c r="BJ19" s="23"/>
      <c r="BK19" s="23"/>
    </row>
    <row r="20" spans="3:63" ht="15">
      <c r="C20" s="93" t="s">
        <v>92</v>
      </c>
      <c r="D20" s="56" t="s">
        <v>93</v>
      </c>
      <c r="E20" s="56" t="s">
        <v>94</v>
      </c>
      <c r="F20" s="24"/>
      <c r="G20" s="56"/>
      <c r="H20" s="23"/>
      <c r="I20" s="57">
        <f>SUM(R20:BK20)</f>
        <v>94</v>
      </c>
      <c r="J20" s="58">
        <f>IFERROR(VLOOKUP(D20,Rates!$A$2:$C$26,3,TRUE),"-")</f>
        <v>460</v>
      </c>
      <c r="K20" s="59">
        <f t="shared" ref="K20:K25" si="0">J20</f>
        <v>460</v>
      </c>
      <c r="L20" s="58">
        <f>IFERROR(VLOOKUP(D20,Rates!$A$2:$C$26,2,TRUE),"-")</f>
        <v>458.18416942066216</v>
      </c>
      <c r="M20" s="58" cm="1">
        <f t="array" ref="M20">IF(Table1[[#This Row],[Total Hours]]=0,"-",SUMPRODUCT(Table1[[#This Row],[WK0]:[WK45]], Table1[[#This Row],[Bill Rate]]*IF(COLUMN(Table1[[#This Row],[WK0]:[WK45]])-COLUMN(Table1[[#This Row],[WK0]])&gt;=$D$5, 1+$D$4, 1)))</f>
        <v>43240</v>
      </c>
      <c r="N20" s="58" cm="1">
        <f t="array" ref="N20">IF(Table1[[#This Row],[Total Hours]]=0,"-",SUMPRODUCT(Table1[[#This Row],[WK0]:[WK45]], Table1[[#This Row],[Cost Rate]]*IF(COLUMN(Table1[[#This Row],[WK0]:[WK45]])-COLUMN(Table1[[#This Row],[WK0]])&gt;=$D$5, 1+$D$4, 1)))</f>
        <v>43069.311925542243</v>
      </c>
      <c r="O20" s="60">
        <f>IFERROR((M20-N20)/M20,"-")</f>
        <v>3.9474577811692288E-3</v>
      </c>
      <c r="P20" s="60">
        <f>IFERROR((J20-K20)/J20,0)</f>
        <v>0</v>
      </c>
      <c r="Q20" s="53">
        <f t="shared" ref="Q20:Q25" si="1">IFERROR(M20/$B$7,0)</f>
        <v>6.6453147764506271E-3</v>
      </c>
      <c r="R20" s="48"/>
      <c r="S20" s="23">
        <v>4</v>
      </c>
      <c r="T20" s="23">
        <v>4</v>
      </c>
      <c r="U20" s="23">
        <v>4</v>
      </c>
      <c r="V20" s="23">
        <v>4</v>
      </c>
      <c r="W20" s="23">
        <v>4</v>
      </c>
      <c r="X20" s="23">
        <v>4</v>
      </c>
      <c r="Y20" s="23">
        <v>4</v>
      </c>
      <c r="Z20" s="23">
        <v>2</v>
      </c>
      <c r="AA20" s="23">
        <v>2</v>
      </c>
      <c r="AB20" s="23">
        <v>2</v>
      </c>
      <c r="AC20" s="23">
        <v>2</v>
      </c>
      <c r="AD20" s="23">
        <v>2</v>
      </c>
      <c r="AE20" s="23">
        <v>2</v>
      </c>
      <c r="AF20" s="23">
        <v>2</v>
      </c>
      <c r="AG20" s="23">
        <v>2</v>
      </c>
      <c r="AH20" s="23">
        <v>2</v>
      </c>
      <c r="AI20" s="23">
        <v>2</v>
      </c>
      <c r="AJ20" s="23">
        <v>2</v>
      </c>
      <c r="AK20" s="23">
        <v>2</v>
      </c>
      <c r="AL20" s="23">
        <v>2</v>
      </c>
      <c r="AM20" s="23">
        <v>2</v>
      </c>
      <c r="AN20" s="23">
        <v>2</v>
      </c>
      <c r="AO20" s="23">
        <v>2</v>
      </c>
      <c r="AP20" s="23">
        <v>2</v>
      </c>
      <c r="AQ20" s="23">
        <v>2</v>
      </c>
      <c r="AR20" s="23">
        <v>2</v>
      </c>
      <c r="AS20" s="23">
        <v>2</v>
      </c>
      <c r="AT20" s="23">
        <v>2</v>
      </c>
      <c r="AU20" s="23">
        <v>2</v>
      </c>
      <c r="AV20" s="23">
        <v>2</v>
      </c>
      <c r="AW20" s="23">
        <v>2</v>
      </c>
      <c r="AX20" s="23">
        <v>2</v>
      </c>
      <c r="AY20" s="23">
        <v>2</v>
      </c>
      <c r="AZ20" s="23">
        <v>2</v>
      </c>
      <c r="BA20" s="23">
        <v>2</v>
      </c>
      <c r="BB20" s="23">
        <v>2</v>
      </c>
      <c r="BC20" s="23">
        <v>2</v>
      </c>
      <c r="BD20" s="23">
        <v>2</v>
      </c>
      <c r="BE20" s="23">
        <v>2</v>
      </c>
      <c r="BF20" s="23">
        <v>2</v>
      </c>
      <c r="BG20" s="23"/>
      <c r="BH20" s="23"/>
      <c r="BI20" s="23"/>
      <c r="BJ20" s="23"/>
      <c r="BK20" s="23"/>
    </row>
    <row r="21" spans="3:63" ht="15">
      <c r="C21" s="93" t="s">
        <v>95</v>
      </c>
      <c r="D21" s="56" t="s">
        <v>95</v>
      </c>
      <c r="E21" s="56" t="s">
        <v>96</v>
      </c>
      <c r="F21" s="24" t="s">
        <v>97</v>
      </c>
      <c r="G21" s="56"/>
      <c r="H21" s="23"/>
      <c r="I21" s="57">
        <f t="shared" ref="I21:I25" si="2">SUM(R21:BK21)</f>
        <v>808</v>
      </c>
      <c r="J21" s="58">
        <f>IFERROR(VLOOKUP(D21,Rates!$A$2:$C$26,3,TRUE),"-")</f>
        <v>500</v>
      </c>
      <c r="K21" s="59">
        <f t="shared" si="0"/>
        <v>500</v>
      </c>
      <c r="L21" s="58">
        <f>IFERROR(VLOOKUP(D21,Rates!$A$2:$C$26,2,TRUE),"-")</f>
        <v>461.18446661311594</v>
      </c>
      <c r="M21" s="58" cm="1">
        <f t="array" ref="M21">IF(Table1[[#This Row],[Total Hours]]=0,"-",SUMPRODUCT(Table1[[#This Row],[WK0]:[WK45]], Table1[[#This Row],[Bill Rate]]*IF(COLUMN(Table1[[#This Row],[WK0]:[WK45]])-COLUMN(Table1[[#This Row],[WK0]])&gt;=$D$5, 1+$D$4, 1)))</f>
        <v>404000</v>
      </c>
      <c r="N21" s="58" cm="1">
        <f t="array" ref="N21">IF(Table1[[#This Row],[Total Hours]]=0,"-",SUMPRODUCT(Table1[[#This Row],[WK0]:[WK45]], Table1[[#This Row],[Cost Rate]]*IF(COLUMN(Table1[[#This Row],[WK0]:[WK45]])-COLUMN(Table1[[#This Row],[WK0]])&gt;=$D$5, 1+$D$4, 1)))</f>
        <v>372637.04902339779</v>
      </c>
      <c r="O21" s="60">
        <f t="shared" ref="O21:O69" si="3">IFERROR((M21-N21)/M21,"-")</f>
        <v>7.763106677376784E-2</v>
      </c>
      <c r="P21" s="60">
        <f t="shared" ref="P21:P69" si="4">IFERROR((J21-K21)/J21,0)</f>
        <v>0</v>
      </c>
      <c r="Q21" s="53">
        <f t="shared" si="1"/>
        <v>6.2088509937235276E-2</v>
      </c>
      <c r="R21" s="48">
        <v>8</v>
      </c>
      <c r="S21" s="23">
        <v>20</v>
      </c>
      <c r="T21" s="23">
        <v>20</v>
      </c>
      <c r="U21" s="23">
        <v>20</v>
      </c>
      <c r="V21" s="23">
        <v>20</v>
      </c>
      <c r="W21" s="23">
        <v>20</v>
      </c>
      <c r="X21" s="23">
        <v>20</v>
      </c>
      <c r="Y21" s="23">
        <v>20</v>
      </c>
      <c r="Z21" s="23">
        <v>20</v>
      </c>
      <c r="AA21" s="23">
        <v>20</v>
      </c>
      <c r="AB21" s="23">
        <v>20</v>
      </c>
      <c r="AC21" s="23">
        <v>20</v>
      </c>
      <c r="AD21" s="23">
        <v>20</v>
      </c>
      <c r="AE21" s="23">
        <v>20</v>
      </c>
      <c r="AF21" s="23">
        <v>20</v>
      </c>
      <c r="AG21" s="23">
        <v>20</v>
      </c>
      <c r="AH21" s="23">
        <v>20</v>
      </c>
      <c r="AI21" s="23">
        <v>20</v>
      </c>
      <c r="AJ21" s="23">
        <v>20</v>
      </c>
      <c r="AK21" s="23">
        <v>20</v>
      </c>
      <c r="AL21" s="23">
        <v>20</v>
      </c>
      <c r="AM21" s="23">
        <v>20</v>
      </c>
      <c r="AN21" s="23">
        <v>20</v>
      </c>
      <c r="AO21" s="23">
        <v>20</v>
      </c>
      <c r="AP21" s="23">
        <v>20</v>
      </c>
      <c r="AQ21" s="23">
        <v>20</v>
      </c>
      <c r="AR21" s="23">
        <v>20</v>
      </c>
      <c r="AS21" s="23">
        <v>20</v>
      </c>
      <c r="AT21" s="23">
        <v>20</v>
      </c>
      <c r="AU21" s="23">
        <v>20</v>
      </c>
      <c r="AV21" s="23">
        <v>20</v>
      </c>
      <c r="AW21" s="23">
        <v>20</v>
      </c>
      <c r="AX21" s="23">
        <v>20</v>
      </c>
      <c r="AY21" s="23">
        <v>20</v>
      </c>
      <c r="AZ21" s="23">
        <v>20</v>
      </c>
      <c r="BA21" s="23">
        <v>20</v>
      </c>
      <c r="BB21" s="23">
        <v>20</v>
      </c>
      <c r="BC21" s="23">
        <v>20</v>
      </c>
      <c r="BD21" s="23">
        <v>20</v>
      </c>
      <c r="BE21" s="23">
        <v>20</v>
      </c>
      <c r="BF21" s="23">
        <v>20</v>
      </c>
      <c r="BG21" s="23"/>
      <c r="BH21" s="23"/>
      <c r="BI21" s="23"/>
      <c r="BJ21" s="23"/>
      <c r="BK21" s="23"/>
    </row>
    <row r="22" spans="3:63" ht="15">
      <c r="C22" s="93" t="s">
        <v>98</v>
      </c>
      <c r="D22" s="56" t="s">
        <v>99</v>
      </c>
      <c r="E22" s="56" t="s">
        <v>100</v>
      </c>
      <c r="F22" s="24"/>
      <c r="G22" s="56"/>
      <c r="H22" s="23"/>
      <c r="I22" s="57">
        <f t="shared" si="2"/>
        <v>960</v>
      </c>
      <c r="J22" s="58">
        <f>IFERROR(VLOOKUP(D22,Rates!$A$2:$C$26,3,TRUE),"-")</f>
        <v>370</v>
      </c>
      <c r="K22" s="59">
        <f t="shared" si="0"/>
        <v>370</v>
      </c>
      <c r="L22" s="58">
        <f>IFERROR(VLOOKUP(D22,Rates!$A$2:$C$26,2,TRUE),"-")</f>
        <v>258.36678981661271</v>
      </c>
      <c r="M22" s="58" cm="1">
        <f t="array" ref="M22">IF(Table1[[#This Row],[Total Hours]]=0,"-",SUMPRODUCT(Table1[[#This Row],[WK0]:[WK45]], Table1[[#This Row],[Bill Rate]]*IF(COLUMN(Table1[[#This Row],[WK0]:[WK45]])-COLUMN(Table1[[#This Row],[WK0]])&gt;=$D$5, 1+$D$4, 1)))</f>
        <v>355200</v>
      </c>
      <c r="N22" s="58" cm="1">
        <f t="array" ref="N22">IF(Table1[[#This Row],[Total Hours]]=0,"-",SUMPRODUCT(Table1[[#This Row],[WK0]:[WK45]], Table1[[#This Row],[Cost Rate]]*IF(COLUMN(Table1[[#This Row],[WK0]:[WK45]])-COLUMN(Table1[[#This Row],[WK0]])&gt;=$D$5, 1+$D$4, 1)))</f>
        <v>248032.11822394835</v>
      </c>
      <c r="O22" s="60">
        <f t="shared" si="3"/>
        <v>0.30171137887401928</v>
      </c>
      <c r="P22" s="60">
        <f t="shared" si="4"/>
        <v>0</v>
      </c>
      <c r="Q22" s="53">
        <f t="shared" si="1"/>
        <v>5.4588709726994977E-2</v>
      </c>
      <c r="R22" s="48"/>
      <c r="S22" s="23">
        <v>24</v>
      </c>
      <c r="T22" s="23">
        <v>24</v>
      </c>
      <c r="U22" s="23">
        <v>24</v>
      </c>
      <c r="V22" s="23">
        <v>24</v>
      </c>
      <c r="W22" s="23">
        <v>24</v>
      </c>
      <c r="X22" s="23">
        <v>24</v>
      </c>
      <c r="Y22" s="23">
        <v>24</v>
      </c>
      <c r="Z22" s="23">
        <v>24</v>
      </c>
      <c r="AA22" s="23">
        <v>24</v>
      </c>
      <c r="AB22" s="23">
        <v>24</v>
      </c>
      <c r="AC22" s="23">
        <v>24</v>
      </c>
      <c r="AD22" s="23">
        <v>24</v>
      </c>
      <c r="AE22" s="23">
        <v>24</v>
      </c>
      <c r="AF22" s="23">
        <v>24</v>
      </c>
      <c r="AG22" s="23">
        <v>24</v>
      </c>
      <c r="AH22" s="23">
        <v>24</v>
      </c>
      <c r="AI22" s="23">
        <v>24</v>
      </c>
      <c r="AJ22" s="23">
        <v>24</v>
      </c>
      <c r="AK22" s="23">
        <v>24</v>
      </c>
      <c r="AL22" s="23">
        <v>24</v>
      </c>
      <c r="AM22" s="23">
        <v>24</v>
      </c>
      <c r="AN22" s="23">
        <v>24</v>
      </c>
      <c r="AO22" s="23">
        <v>24</v>
      </c>
      <c r="AP22" s="23">
        <v>24</v>
      </c>
      <c r="AQ22" s="23">
        <v>24</v>
      </c>
      <c r="AR22" s="23">
        <v>24</v>
      </c>
      <c r="AS22" s="23">
        <v>24</v>
      </c>
      <c r="AT22" s="23">
        <v>24</v>
      </c>
      <c r="AU22" s="23">
        <v>24</v>
      </c>
      <c r="AV22" s="23">
        <v>24</v>
      </c>
      <c r="AW22" s="23">
        <v>24</v>
      </c>
      <c r="AX22" s="23">
        <v>24</v>
      </c>
      <c r="AY22" s="23">
        <v>24</v>
      </c>
      <c r="AZ22" s="23">
        <v>24</v>
      </c>
      <c r="BA22" s="23">
        <v>24</v>
      </c>
      <c r="BB22" s="23">
        <v>24</v>
      </c>
      <c r="BC22" s="23">
        <v>24</v>
      </c>
      <c r="BD22" s="23">
        <v>24</v>
      </c>
      <c r="BE22" s="23">
        <v>24</v>
      </c>
      <c r="BF22" s="23">
        <v>24</v>
      </c>
      <c r="BG22" s="23"/>
      <c r="BH22" s="23"/>
      <c r="BI22" s="23"/>
      <c r="BJ22" s="23"/>
      <c r="BK22" s="23"/>
    </row>
    <row r="23" spans="3:63" ht="15">
      <c r="C23" s="93" t="s">
        <v>101</v>
      </c>
      <c r="D23" s="56" t="s">
        <v>102</v>
      </c>
      <c r="E23" s="56" t="s">
        <v>103</v>
      </c>
      <c r="F23" s="24"/>
      <c r="G23" s="56"/>
      <c r="H23" s="23"/>
      <c r="I23" s="57">
        <f t="shared" si="2"/>
        <v>960</v>
      </c>
      <c r="J23" s="58">
        <f>IFERROR(VLOOKUP(D23,Rates!$A$2:$C$26,3,TRUE),"-")</f>
        <v>90</v>
      </c>
      <c r="K23" s="59">
        <f t="shared" si="0"/>
        <v>90</v>
      </c>
      <c r="L23" s="58">
        <f>IFERROR(VLOOKUP(D23,Rates!$A$2:$C$26,2,TRUE),"-")</f>
        <v>53.886669260251011</v>
      </c>
      <c r="M23" s="58" cm="1">
        <f t="array" ref="M23">IF(Table1[[#This Row],[Total Hours]]=0,"-",SUMPRODUCT(Table1[[#This Row],[WK0]:[WK45]], Table1[[#This Row],[Bill Rate]]*IF(COLUMN(Table1[[#This Row],[WK0]:[WK45]])-COLUMN(Table1[[#This Row],[WK0]])&gt;=$D$5, 1+$D$4, 1)))</f>
        <v>86400</v>
      </c>
      <c r="N23" s="58" cm="1">
        <f t="array" ref="N23">IF(Table1[[#This Row],[Total Hours]]=0,"-",SUMPRODUCT(Table1[[#This Row],[WK0]:[WK45]], Table1[[#This Row],[Cost Rate]]*IF(COLUMN(Table1[[#This Row],[WK0]:[WK45]])-COLUMN(Table1[[#This Row],[WK0]])&gt;=$D$5, 1+$D$4, 1)))</f>
        <v>51731.202489841002</v>
      </c>
      <c r="O23" s="60">
        <f t="shared" si="3"/>
        <v>0.40125923044165507</v>
      </c>
      <c r="P23" s="60">
        <f t="shared" si="4"/>
        <v>0</v>
      </c>
      <c r="Q23" s="53">
        <f t="shared" si="1"/>
        <v>1.3278334798458238E-2</v>
      </c>
      <c r="R23" s="48"/>
      <c r="S23" s="23">
        <v>24</v>
      </c>
      <c r="T23" s="23">
        <v>24</v>
      </c>
      <c r="U23" s="23">
        <v>24</v>
      </c>
      <c r="V23" s="23">
        <v>24</v>
      </c>
      <c r="W23" s="23">
        <v>24</v>
      </c>
      <c r="X23" s="23">
        <v>24</v>
      </c>
      <c r="Y23" s="23">
        <v>24</v>
      </c>
      <c r="Z23" s="23">
        <v>24</v>
      </c>
      <c r="AA23" s="23">
        <v>24</v>
      </c>
      <c r="AB23" s="23">
        <v>24</v>
      </c>
      <c r="AC23" s="23">
        <v>24</v>
      </c>
      <c r="AD23" s="23">
        <v>24</v>
      </c>
      <c r="AE23" s="23">
        <v>24</v>
      </c>
      <c r="AF23" s="23">
        <v>24</v>
      </c>
      <c r="AG23" s="23">
        <v>24</v>
      </c>
      <c r="AH23" s="23">
        <v>24</v>
      </c>
      <c r="AI23" s="23">
        <v>24</v>
      </c>
      <c r="AJ23" s="23">
        <v>24</v>
      </c>
      <c r="AK23" s="23">
        <v>24</v>
      </c>
      <c r="AL23" s="23">
        <v>24</v>
      </c>
      <c r="AM23" s="23">
        <v>24</v>
      </c>
      <c r="AN23" s="23">
        <v>24</v>
      </c>
      <c r="AO23" s="23">
        <v>24</v>
      </c>
      <c r="AP23" s="23">
        <v>24</v>
      </c>
      <c r="AQ23" s="23">
        <v>24</v>
      </c>
      <c r="AR23" s="23">
        <v>24</v>
      </c>
      <c r="AS23" s="23">
        <v>24</v>
      </c>
      <c r="AT23" s="23">
        <v>24</v>
      </c>
      <c r="AU23" s="23">
        <v>24</v>
      </c>
      <c r="AV23" s="23">
        <v>24</v>
      </c>
      <c r="AW23" s="23">
        <v>24</v>
      </c>
      <c r="AX23" s="23">
        <v>24</v>
      </c>
      <c r="AY23" s="23">
        <v>24</v>
      </c>
      <c r="AZ23" s="23">
        <v>24</v>
      </c>
      <c r="BA23" s="23">
        <v>24</v>
      </c>
      <c r="BB23" s="23">
        <v>24</v>
      </c>
      <c r="BC23" s="23">
        <v>24</v>
      </c>
      <c r="BD23" s="23">
        <v>24</v>
      </c>
      <c r="BE23" s="23">
        <v>24</v>
      </c>
      <c r="BF23" s="23">
        <v>24</v>
      </c>
      <c r="BG23" s="23"/>
      <c r="BH23" s="23"/>
      <c r="BI23" s="23"/>
      <c r="BJ23" s="23"/>
      <c r="BK23" s="23"/>
    </row>
    <row r="24" spans="3:63" ht="15">
      <c r="C24" s="93" t="s">
        <v>104</v>
      </c>
      <c r="D24" s="56" t="s">
        <v>102</v>
      </c>
      <c r="E24" s="56" t="s">
        <v>105</v>
      </c>
      <c r="F24" s="24"/>
      <c r="G24" s="56"/>
      <c r="H24" s="23"/>
      <c r="I24" s="57">
        <f t="shared" si="2"/>
        <v>100</v>
      </c>
      <c r="J24" s="58">
        <f>IFERROR(VLOOKUP(D24,Rates!$A$2:$C$26,3,TRUE),"-")</f>
        <v>90</v>
      </c>
      <c r="K24" s="59">
        <f t="shared" si="0"/>
        <v>90</v>
      </c>
      <c r="L24" s="58">
        <f>IFERROR(VLOOKUP(D24,Rates!$A$2:$C$26,2,TRUE),"-")</f>
        <v>53.886669260251011</v>
      </c>
      <c r="M24" s="58" cm="1">
        <f t="array" ref="M24">IF(Table1[[#This Row],[Total Hours]]=0,"-",SUMPRODUCT(Table1[[#This Row],[WK0]:[WK45]], Table1[[#This Row],[Bill Rate]]*IF(COLUMN(Table1[[#This Row],[WK0]:[WK45]])-COLUMN(Table1[[#This Row],[WK0]])&gt;=$D$5, 1+$D$4, 1)))</f>
        <v>9000</v>
      </c>
      <c r="N24" s="58" cm="1">
        <f t="array" ref="N24">IF(Table1[[#This Row],[Total Hours]]=0,"-",SUMPRODUCT(Table1[[#This Row],[WK0]:[WK45]], Table1[[#This Row],[Cost Rate]]*IF(COLUMN(Table1[[#This Row],[WK0]:[WK45]])-COLUMN(Table1[[#This Row],[WK0]])&gt;=$D$5, 1+$D$4, 1)))</f>
        <v>5388.6669260250992</v>
      </c>
      <c r="O24" s="60">
        <f t="shared" si="3"/>
        <v>0.40125923044165562</v>
      </c>
      <c r="P24" s="60">
        <f t="shared" si="4"/>
        <v>0</v>
      </c>
      <c r="Q24" s="53">
        <f t="shared" si="1"/>
        <v>1.3831598748393998E-3</v>
      </c>
      <c r="R24" s="48"/>
      <c r="S24" s="23">
        <v>4</v>
      </c>
      <c r="T24" s="23">
        <v>4</v>
      </c>
      <c r="U24" s="23">
        <v>4</v>
      </c>
      <c r="V24" s="23">
        <v>4</v>
      </c>
      <c r="W24" s="23">
        <v>4</v>
      </c>
      <c r="X24" s="23">
        <v>4</v>
      </c>
      <c r="Y24" s="23">
        <v>4</v>
      </c>
      <c r="Z24" s="23">
        <v>4</v>
      </c>
      <c r="AA24" s="23">
        <v>4</v>
      </c>
      <c r="AB24" s="23">
        <v>4</v>
      </c>
      <c r="AC24" s="23">
        <v>2</v>
      </c>
      <c r="AD24" s="23">
        <v>2</v>
      </c>
      <c r="AE24" s="23">
        <v>2</v>
      </c>
      <c r="AF24" s="23">
        <v>2</v>
      </c>
      <c r="AG24" s="23">
        <v>2</v>
      </c>
      <c r="AH24" s="23">
        <v>2</v>
      </c>
      <c r="AI24" s="23">
        <v>2</v>
      </c>
      <c r="AJ24" s="23">
        <v>2</v>
      </c>
      <c r="AK24" s="23">
        <v>2</v>
      </c>
      <c r="AL24" s="23">
        <v>2</v>
      </c>
      <c r="AM24" s="23">
        <v>2</v>
      </c>
      <c r="AN24" s="23">
        <v>2</v>
      </c>
      <c r="AO24" s="23">
        <v>2</v>
      </c>
      <c r="AP24" s="23">
        <v>2</v>
      </c>
      <c r="AQ24" s="23">
        <v>2</v>
      </c>
      <c r="AR24" s="23">
        <v>2</v>
      </c>
      <c r="AS24" s="23">
        <v>2</v>
      </c>
      <c r="AT24" s="23">
        <v>2</v>
      </c>
      <c r="AU24" s="23">
        <v>2</v>
      </c>
      <c r="AV24" s="23">
        <v>2</v>
      </c>
      <c r="AW24" s="23">
        <v>2</v>
      </c>
      <c r="AX24" s="23">
        <v>2</v>
      </c>
      <c r="AY24" s="23">
        <v>2</v>
      </c>
      <c r="AZ24" s="23">
        <v>2</v>
      </c>
      <c r="BA24" s="23">
        <v>2</v>
      </c>
      <c r="BB24" s="23">
        <v>2</v>
      </c>
      <c r="BC24" s="23">
        <v>2</v>
      </c>
      <c r="BD24" s="23">
        <v>2</v>
      </c>
      <c r="BE24" s="23">
        <v>2</v>
      </c>
      <c r="BF24" s="23">
        <v>2</v>
      </c>
      <c r="BG24" s="23"/>
      <c r="BH24" s="23"/>
      <c r="BI24" s="23"/>
      <c r="BJ24" s="23"/>
      <c r="BK24" s="23"/>
    </row>
    <row r="25" spans="3:63" ht="15">
      <c r="C25" s="93"/>
      <c r="D25" s="56"/>
      <c r="E25" s="56"/>
      <c r="F25" s="24"/>
      <c r="G25" s="56"/>
      <c r="H25" s="23"/>
      <c r="I25" s="57">
        <f t="shared" si="2"/>
        <v>0</v>
      </c>
      <c r="J25" s="58" t="str">
        <f>IFERROR(VLOOKUP(D25,Rates!$A$2:$C$26,3,TRUE),"-")</f>
        <v>-</v>
      </c>
      <c r="K25" s="59" t="str">
        <f t="shared" si="0"/>
        <v>-</v>
      </c>
      <c r="L25" s="58" t="str">
        <f>IFERROR(VLOOKUP(D25,Rates!$A$2:$C$26,2,TRUE),"-")</f>
        <v>-</v>
      </c>
      <c r="M25" s="58" t="str" cm="1">
        <f t="array" ref="M25">IF(Table1[[#This Row],[Total Hours]]=0,"-",SUMPRODUCT(Table1[[#This Row],[WK0]:[WK45]], Table1[[#This Row],[Bill Rate]]*IF(COLUMN(Table1[[#This Row],[WK0]:[WK45]])-COLUMN(Table1[[#This Row],[WK0]])&gt;=$D$5, 1+$D$4, 1)))</f>
        <v>-</v>
      </c>
      <c r="N25" s="58" t="str" cm="1">
        <f t="array" ref="N25">IF(Table1[[#This Row],[Total Hours]]=0,"-",SUMPRODUCT(Table1[[#This Row],[WK0]:[WK45]], Table1[[#This Row],[Cost Rate]]*IF(COLUMN(Table1[[#This Row],[WK0]:[WK45]])-COLUMN(Table1[[#This Row],[WK0]])&gt;=$D$5, 1+$D$4, 1)))</f>
        <v>-</v>
      </c>
      <c r="O25" s="60" t="str">
        <f t="shared" si="3"/>
        <v>-</v>
      </c>
      <c r="P25" s="60">
        <f t="shared" si="4"/>
        <v>0</v>
      </c>
      <c r="Q25" s="53">
        <f t="shared" si="1"/>
        <v>0</v>
      </c>
      <c r="R25" s="48"/>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row>
    <row r="26" spans="3:63" s="2" customFormat="1" ht="15">
      <c r="C26" s="21"/>
      <c r="D26" s="41">
        <f>SUM(Q27:Q27)</f>
        <v>0</v>
      </c>
      <c r="E26" s="21"/>
      <c r="F26" s="21"/>
      <c r="G26" s="21"/>
      <c r="H26" s="21"/>
      <c r="I26" s="21"/>
      <c r="J26" s="21"/>
      <c r="K26" s="21"/>
      <c r="L26" s="21"/>
      <c r="M26" s="21" t="str" cm="1">
        <f t="array" ref="M26">IF(Table1[[#This Row],[Total Hours]]=0,"-",SUMPRODUCT(Table1[[#This Row],[WK0]:[WK45]], Table1[[#This Row],[Bill Rate]]*IF(COLUMN(Table1[[#This Row],[WK0]:[WK45]])-COLUMN(Table1[[#This Row],[WK0]])&gt;=$D$5, 1+$D$4, 1)))</f>
        <v>-</v>
      </c>
      <c r="N26" s="21" t="str" cm="1">
        <f t="array" ref="N26">IF(Table1[[#This Row],[Total Hours]]=0,"-",SUMPRODUCT(Table1[[#This Row],[WK0]:[WK45]], Table1[[#This Row],[Cost Rate]]*IF(COLUMN(Table1[[#This Row],[WK0]:[WK45]])-COLUMN(Table1[[#This Row],[WK0]])&gt;=$D$5, 1+$D$4, 1)))</f>
        <v>-</v>
      </c>
      <c r="O26" s="21"/>
      <c r="P26" s="21"/>
      <c r="Q26" s="45"/>
      <c r="R26" s="49"/>
      <c r="S26" s="61"/>
      <c r="T26" s="61"/>
      <c r="U26" s="61"/>
      <c r="V26" s="61"/>
      <c r="W26" s="61"/>
      <c r="X26" s="61"/>
      <c r="Y26" s="61"/>
      <c r="Z26" s="61"/>
      <c r="AA26" s="61"/>
      <c r="AB26" s="61"/>
      <c r="AC26" s="61"/>
      <c r="AD26" s="61"/>
      <c r="AE26" s="61"/>
      <c r="AF26" s="61"/>
      <c r="AG26" s="61"/>
      <c r="AH26" s="61"/>
      <c r="AI26" s="61"/>
      <c r="AJ26" s="61"/>
      <c r="AK26" s="61"/>
      <c r="AL26" s="61"/>
      <c r="AM26" s="61"/>
      <c r="AN26" s="61"/>
      <c r="AO26" s="61"/>
      <c r="AP26" s="61"/>
      <c r="AQ26" s="61"/>
      <c r="AR26" s="61"/>
      <c r="AS26" s="61"/>
      <c r="AT26" s="61"/>
      <c r="AU26" s="23"/>
      <c r="AV26" s="23"/>
      <c r="AW26" s="23"/>
      <c r="AX26" s="23"/>
      <c r="AY26" s="23"/>
      <c r="AZ26" s="23"/>
      <c r="BA26" s="23"/>
      <c r="BB26" s="23"/>
      <c r="BC26" s="23"/>
      <c r="BD26" s="23"/>
      <c r="BE26" s="23"/>
      <c r="BF26" s="23"/>
      <c r="BG26" s="23"/>
      <c r="BH26" s="23"/>
      <c r="BI26" s="23"/>
      <c r="BJ26" s="23"/>
      <c r="BK26" s="23"/>
    </row>
    <row r="27" spans="3:63" ht="15">
      <c r="C27" s="94"/>
      <c r="D27" s="56"/>
      <c r="E27" s="56"/>
      <c r="F27" s="24"/>
      <c r="G27" s="56"/>
      <c r="H27" s="23"/>
      <c r="I27" s="57">
        <f t="shared" ref="I27" si="5">SUM(R27:AT27)</f>
        <v>0</v>
      </c>
      <c r="J27" s="58" t="str">
        <f>IFERROR(VLOOKUP(D27,Rates!$A$2:$C$26,3,TRUE),"-")</f>
        <v>-</v>
      </c>
      <c r="K27" s="59" t="str">
        <f t="shared" ref="K27" si="6">J27</f>
        <v>-</v>
      </c>
      <c r="L27" s="58" t="str">
        <f>IFERROR(VLOOKUP(D27,Rates!$A$2:$C$26,2,TRUE),"-")</f>
        <v>-</v>
      </c>
      <c r="M27" s="58" t="str" cm="1">
        <f t="array" ref="M27">IF(Table1[[#This Row],[Total Hours]]=0,"-",SUMPRODUCT(Table1[[#This Row],[WK0]:[WK45]], Table1[[#This Row],[Bill Rate]]*IF(COLUMN(Table1[[#This Row],[WK0]:[WK45]])-COLUMN(Table1[[#This Row],[WK0]])&gt;=$D$5, 1+$D$4, 1)))</f>
        <v>-</v>
      </c>
      <c r="N27" s="58" t="str" cm="1">
        <f t="array" ref="N27">IF(Table1[[#This Row],[Total Hours]]=0,"-",SUMPRODUCT(Table1[[#This Row],[WK0]:[WK45]], Table1[[#This Row],[Cost Rate]]*IF(COLUMN(Table1[[#This Row],[WK0]:[WK45]])-COLUMN(Table1[[#This Row],[WK0]])&gt;=$D$5, 1+$D$4, 1)))</f>
        <v>-</v>
      </c>
      <c r="O27" s="60" t="str">
        <f t="shared" si="3"/>
        <v>-</v>
      </c>
      <c r="P27" s="60">
        <f t="shared" si="4"/>
        <v>0</v>
      </c>
      <c r="Q27" s="44">
        <f t="shared" ref="Q27" si="7">IFERROR(M27/$B$7,0)</f>
        <v>0</v>
      </c>
      <c r="R27" s="48"/>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row>
    <row r="28" spans="3:63" ht="15">
      <c r="C28" s="95" t="s">
        <v>106</v>
      </c>
      <c r="D28" s="42">
        <f>SUM(Q29:Q34)</f>
        <v>0.2553067233864672</v>
      </c>
      <c r="E28" s="22"/>
      <c r="F28" s="22"/>
      <c r="G28" s="22"/>
      <c r="H28" s="22"/>
      <c r="I28" s="22"/>
      <c r="J28" s="22"/>
      <c r="K28" s="22"/>
      <c r="L28" s="22"/>
      <c r="M28" s="22" t="str" cm="1">
        <f t="array" ref="M28">IF(Table1[[#This Row],[Total Hours]]=0,"-",SUMPRODUCT(Table1[[#This Row],[WK0]:[WK45]], Table1[[#This Row],[Bill Rate]]*IF(COLUMN(Table1[[#This Row],[WK0]:[WK45]])-COLUMN(Table1[[#This Row],[WK0]])&gt;=$D$5, 1+$D$4, 1)))</f>
        <v>-</v>
      </c>
      <c r="N28" s="22" t="str" cm="1">
        <f t="array" ref="N28">IF(Table1[[#This Row],[Total Hours]]=0,"-",SUMPRODUCT(Table1[[#This Row],[WK0]:[WK45]], Table1[[#This Row],[Cost Rate]]*IF(COLUMN(Table1[[#This Row],[WK0]:[WK45]])-COLUMN(Table1[[#This Row],[WK0]])&gt;=$D$5, 1+$D$4, 1)))</f>
        <v>-</v>
      </c>
      <c r="O28" s="22"/>
      <c r="P28" s="22"/>
      <c r="Q28" s="46"/>
      <c r="R28" s="50"/>
      <c r="S28" s="62"/>
      <c r="T28" s="62"/>
      <c r="U28" s="62"/>
      <c r="V28" s="62"/>
      <c r="W28" s="62"/>
      <c r="X28" s="62"/>
      <c r="Y28" s="62"/>
      <c r="Z28" s="62"/>
      <c r="AA28" s="62"/>
      <c r="AB28" s="62"/>
      <c r="AC28" s="62"/>
      <c r="AD28" s="62"/>
      <c r="AE28" s="62"/>
      <c r="AF28" s="62"/>
      <c r="AG28" s="62"/>
      <c r="AH28" s="62"/>
      <c r="AI28" s="62"/>
      <c r="AJ28" s="62"/>
      <c r="AK28" s="62"/>
      <c r="AL28" s="62"/>
      <c r="AM28" s="62"/>
      <c r="AN28" s="62"/>
      <c r="AO28" s="62"/>
      <c r="AP28" s="62"/>
      <c r="AQ28" s="62"/>
      <c r="AR28" s="62"/>
      <c r="AS28" s="62"/>
      <c r="AT28" s="62"/>
      <c r="AU28" s="23"/>
      <c r="AV28" s="23"/>
      <c r="AW28" s="23"/>
      <c r="AX28" s="23"/>
      <c r="AY28" s="23"/>
      <c r="AZ28" s="23"/>
      <c r="BA28" s="23"/>
      <c r="BB28" s="23"/>
      <c r="BC28" s="23"/>
      <c r="BD28" s="23"/>
      <c r="BE28" s="23"/>
      <c r="BF28" s="23"/>
      <c r="BG28" s="23"/>
      <c r="BH28" s="23"/>
      <c r="BI28" s="23"/>
      <c r="BJ28" s="23"/>
      <c r="BK28" s="23"/>
    </row>
    <row r="29" spans="3:63" ht="15.6" customHeight="1">
      <c r="C29" s="94" t="s">
        <v>107</v>
      </c>
      <c r="D29" s="63" t="s">
        <v>108</v>
      </c>
      <c r="E29" s="56" t="s">
        <v>109</v>
      </c>
      <c r="F29" s="24" t="s">
        <v>97</v>
      </c>
      <c r="G29" s="56"/>
      <c r="H29" s="23" t="s">
        <v>110</v>
      </c>
      <c r="I29" s="57">
        <f>SUM(R29:BK29)</f>
        <v>1208</v>
      </c>
      <c r="J29" s="65">
        <f>IFERROR(VLOOKUP(D29,Rates!$A$2:$C$26,3,TRUE),"-")</f>
        <v>490</v>
      </c>
      <c r="K29" s="59">
        <f t="shared" ref="K29:K34" si="8">J29</f>
        <v>490</v>
      </c>
      <c r="L29" s="65">
        <f>IFERROR(VLOOKUP(D29,Rates!$A$2:$C$26,2,TRUE),"-")</f>
        <v>404.15451989298759</v>
      </c>
      <c r="M29" s="58" cm="1">
        <f t="array" ref="M29">IF(Table1[[#This Row],[Total Hours]]=0,"-",SUMPRODUCT(Table1[[#This Row],[WK0]:[WK45]], Table1[[#This Row],[Bill Rate]]*IF(COLUMN(Table1[[#This Row],[WK0]:[WK45]])-COLUMN(Table1[[#This Row],[WK0]])&gt;=$D$5, 1+$D$4, 1)))</f>
        <v>591920</v>
      </c>
      <c r="N29" s="58" cm="1">
        <f t="array" ref="N29">IF(Table1[[#This Row],[Total Hours]]=0,"-",SUMPRODUCT(Table1[[#This Row],[WK0]:[WK45]], Table1[[#This Row],[Cost Rate]]*IF(COLUMN(Table1[[#This Row],[WK0]:[WK45]])-COLUMN(Table1[[#This Row],[WK0]])&gt;=$D$5, 1+$D$4, 1)))</f>
        <v>488218.66003072937</v>
      </c>
      <c r="O29" s="60">
        <f t="shared" si="3"/>
        <v>0.17519485736124921</v>
      </c>
      <c r="P29" s="66">
        <f t="shared" si="4"/>
        <v>0</v>
      </c>
      <c r="Q29" s="54">
        <f t="shared" ref="Q29:Q34" si="9">IFERROR(M29/$B$7,0)</f>
        <v>9.0968888123881944E-2</v>
      </c>
      <c r="R29" s="51">
        <v>8</v>
      </c>
      <c r="S29" s="24">
        <v>30</v>
      </c>
      <c r="T29" s="24">
        <v>30</v>
      </c>
      <c r="U29" s="24">
        <v>30</v>
      </c>
      <c r="V29" s="24">
        <v>30</v>
      </c>
      <c r="W29" s="24">
        <v>30</v>
      </c>
      <c r="X29" s="24">
        <v>30</v>
      </c>
      <c r="Y29" s="24">
        <v>30</v>
      </c>
      <c r="Z29" s="24">
        <v>30</v>
      </c>
      <c r="AA29" s="24">
        <v>30</v>
      </c>
      <c r="AB29" s="24">
        <v>30</v>
      </c>
      <c r="AC29" s="24">
        <v>30</v>
      </c>
      <c r="AD29" s="24">
        <v>30</v>
      </c>
      <c r="AE29" s="24">
        <v>30</v>
      </c>
      <c r="AF29" s="24">
        <v>30</v>
      </c>
      <c r="AG29" s="24">
        <v>30</v>
      </c>
      <c r="AH29" s="24">
        <v>30</v>
      </c>
      <c r="AI29" s="24">
        <v>30</v>
      </c>
      <c r="AJ29" s="24">
        <v>30</v>
      </c>
      <c r="AK29" s="24">
        <v>30</v>
      </c>
      <c r="AL29" s="24">
        <v>30</v>
      </c>
      <c r="AM29" s="24">
        <v>30</v>
      </c>
      <c r="AN29" s="24">
        <v>30</v>
      </c>
      <c r="AO29" s="24">
        <v>30</v>
      </c>
      <c r="AP29" s="24">
        <v>30</v>
      </c>
      <c r="AQ29" s="24">
        <v>30</v>
      </c>
      <c r="AR29" s="24">
        <v>30</v>
      </c>
      <c r="AS29" s="24">
        <v>30</v>
      </c>
      <c r="AT29" s="24">
        <v>30</v>
      </c>
      <c r="AU29" s="23">
        <v>30</v>
      </c>
      <c r="AV29" s="23">
        <v>30</v>
      </c>
      <c r="AW29" s="23">
        <v>30</v>
      </c>
      <c r="AX29" s="23">
        <v>30</v>
      </c>
      <c r="AY29" s="23">
        <v>30</v>
      </c>
      <c r="AZ29" s="23">
        <v>30</v>
      </c>
      <c r="BA29" s="23">
        <v>30</v>
      </c>
      <c r="BB29" s="23">
        <v>30</v>
      </c>
      <c r="BC29" s="23">
        <v>30</v>
      </c>
      <c r="BD29" s="23">
        <v>30</v>
      </c>
      <c r="BE29" s="23">
        <v>30</v>
      </c>
      <c r="BF29" s="23">
        <v>30</v>
      </c>
      <c r="BG29" s="23"/>
      <c r="BH29" s="23"/>
      <c r="BI29" s="23"/>
      <c r="BJ29" s="23"/>
      <c r="BK29" s="23"/>
    </row>
    <row r="30" spans="3:63" ht="15">
      <c r="C30" s="94" t="s">
        <v>111</v>
      </c>
      <c r="D30" s="63" t="s">
        <v>112</v>
      </c>
      <c r="E30" s="56" t="s">
        <v>113</v>
      </c>
      <c r="F30" s="24" t="s">
        <v>114</v>
      </c>
      <c r="G30" s="56"/>
      <c r="H30" s="23" t="s">
        <v>110</v>
      </c>
      <c r="I30" s="57">
        <f t="shared" ref="I30:I35" si="10">SUM(R30:BK30)</f>
        <v>1608</v>
      </c>
      <c r="J30" s="65">
        <f>IFERROR(VLOOKUP(D30,Rates!$A$2:$C$26,3,TRUE),"-")</f>
        <v>365</v>
      </c>
      <c r="K30" s="59">
        <f t="shared" si="8"/>
        <v>365</v>
      </c>
      <c r="L30" s="65">
        <f>IFERROR(VLOOKUP(D30,Rates!$A$2:$C$26,2,TRUE),"-")</f>
        <v>256.15021150776352</v>
      </c>
      <c r="M30" s="58" cm="1">
        <f t="array" ref="M30">IF(Table1[[#This Row],[Total Hours]]=0,"-",SUMPRODUCT(Table1[[#This Row],[WK0]:[WK45]], Table1[[#This Row],[Bill Rate]]*IF(COLUMN(Table1[[#This Row],[WK0]:[WK45]])-COLUMN(Table1[[#This Row],[WK0]])&gt;=$D$5, 1+$D$4, 1)))</f>
        <v>586920</v>
      </c>
      <c r="N30" s="58" cm="1">
        <f t="array" ref="N30">IF(Table1[[#This Row],[Total Hours]]=0,"-",SUMPRODUCT(Table1[[#This Row],[WK0]:[WK45]], Table1[[#This Row],[Cost Rate]]*IF(COLUMN(Table1[[#This Row],[WK0]:[WK45]])-COLUMN(Table1[[#This Row],[WK0]])&gt;=$D$5, 1+$D$4, 1)))</f>
        <v>411889.54010448355</v>
      </c>
      <c r="O30" s="60">
        <f t="shared" si="3"/>
        <v>0.2982185986088674</v>
      </c>
      <c r="P30" s="66">
        <f t="shared" si="4"/>
        <v>0</v>
      </c>
      <c r="Q30" s="54">
        <f t="shared" si="9"/>
        <v>9.0200465971193397E-2</v>
      </c>
      <c r="R30" s="51">
        <v>8</v>
      </c>
      <c r="S30" s="24">
        <v>40</v>
      </c>
      <c r="T30" s="24">
        <v>40</v>
      </c>
      <c r="U30" s="24">
        <v>40</v>
      </c>
      <c r="V30" s="24">
        <v>40</v>
      </c>
      <c r="W30" s="24">
        <v>40</v>
      </c>
      <c r="X30" s="24">
        <v>40</v>
      </c>
      <c r="Y30" s="24">
        <v>40</v>
      </c>
      <c r="Z30" s="24">
        <v>40</v>
      </c>
      <c r="AA30" s="24">
        <v>40</v>
      </c>
      <c r="AB30" s="24">
        <v>40</v>
      </c>
      <c r="AC30" s="24">
        <v>40</v>
      </c>
      <c r="AD30" s="24">
        <v>40</v>
      </c>
      <c r="AE30" s="24">
        <v>40</v>
      </c>
      <c r="AF30" s="24">
        <v>40</v>
      </c>
      <c r="AG30" s="24">
        <v>40</v>
      </c>
      <c r="AH30" s="24">
        <v>40</v>
      </c>
      <c r="AI30" s="24">
        <v>40</v>
      </c>
      <c r="AJ30" s="24">
        <v>40</v>
      </c>
      <c r="AK30" s="24">
        <v>40</v>
      </c>
      <c r="AL30" s="24">
        <v>40</v>
      </c>
      <c r="AM30" s="24">
        <v>40</v>
      </c>
      <c r="AN30" s="24">
        <v>40</v>
      </c>
      <c r="AO30" s="24">
        <v>40</v>
      </c>
      <c r="AP30" s="24">
        <v>40</v>
      </c>
      <c r="AQ30" s="24">
        <v>40</v>
      </c>
      <c r="AR30" s="24">
        <v>40</v>
      </c>
      <c r="AS30" s="24">
        <v>40</v>
      </c>
      <c r="AT30" s="24">
        <v>40</v>
      </c>
      <c r="AU30" s="23">
        <v>40</v>
      </c>
      <c r="AV30" s="23">
        <v>40</v>
      </c>
      <c r="AW30" s="23">
        <v>40</v>
      </c>
      <c r="AX30" s="23">
        <v>40</v>
      </c>
      <c r="AY30" s="23">
        <v>40</v>
      </c>
      <c r="AZ30" s="23">
        <v>40</v>
      </c>
      <c r="BA30" s="23">
        <v>40</v>
      </c>
      <c r="BB30" s="23">
        <v>40</v>
      </c>
      <c r="BC30" s="23">
        <v>40</v>
      </c>
      <c r="BD30" s="23">
        <v>40</v>
      </c>
      <c r="BE30" s="23">
        <v>40</v>
      </c>
      <c r="BF30" s="23">
        <v>40</v>
      </c>
      <c r="BG30" s="23"/>
      <c r="BH30" s="23"/>
      <c r="BI30" s="23"/>
      <c r="BJ30" s="23"/>
      <c r="BK30" s="23"/>
    </row>
    <row r="31" spans="3:63" ht="15">
      <c r="C31" s="94" t="s">
        <v>115</v>
      </c>
      <c r="D31" s="63" t="s">
        <v>102</v>
      </c>
      <c r="E31" s="56" t="s">
        <v>103</v>
      </c>
      <c r="F31" s="24" t="s">
        <v>114</v>
      </c>
      <c r="G31" s="56"/>
      <c r="H31" s="23" t="s">
        <v>110</v>
      </c>
      <c r="I31" s="57">
        <f t="shared" si="10"/>
        <v>1600</v>
      </c>
      <c r="J31" s="65">
        <f>IFERROR(VLOOKUP(D31,Rates!$A$2:$C$26,3,TRUE),"-")</f>
        <v>90</v>
      </c>
      <c r="K31" s="59">
        <f t="shared" si="8"/>
        <v>90</v>
      </c>
      <c r="L31" s="65">
        <f>IFERROR(VLOOKUP(D31,Rates!$A$2:$C$26,2,TRUE),"-")</f>
        <v>53.886669260251011</v>
      </c>
      <c r="M31" s="58" cm="1">
        <f t="array" ref="M31">IF(Table1[[#This Row],[Total Hours]]=0,"-",SUMPRODUCT(Table1[[#This Row],[WK0]:[WK45]], Table1[[#This Row],[Bill Rate]]*IF(COLUMN(Table1[[#This Row],[WK0]:[WK45]])-COLUMN(Table1[[#This Row],[WK0]])&gt;=$D$5, 1+$D$4, 1)))</f>
        <v>144000</v>
      </c>
      <c r="N31" s="58" cm="1">
        <f t="array" ref="N31">IF(Table1[[#This Row],[Total Hours]]=0,"-",SUMPRODUCT(Table1[[#This Row],[WK0]:[WK45]], Table1[[#This Row],[Cost Rate]]*IF(COLUMN(Table1[[#This Row],[WK0]:[WK45]])-COLUMN(Table1[[#This Row],[WK0]])&gt;=$D$5, 1+$D$4, 1)))</f>
        <v>86218.67081640166</v>
      </c>
      <c r="O31" s="60">
        <f t="shared" si="3"/>
        <v>0.40125923044165512</v>
      </c>
      <c r="P31" s="66">
        <f t="shared" si="4"/>
        <v>0</v>
      </c>
      <c r="Q31" s="54">
        <f t="shared" si="9"/>
        <v>2.2130557997430397E-2</v>
      </c>
      <c r="R31" s="51"/>
      <c r="S31" s="24">
        <v>40</v>
      </c>
      <c r="T31" s="24">
        <v>40</v>
      </c>
      <c r="U31" s="24">
        <v>40</v>
      </c>
      <c r="V31" s="24">
        <v>40</v>
      </c>
      <c r="W31" s="24">
        <v>40</v>
      </c>
      <c r="X31" s="24">
        <v>40</v>
      </c>
      <c r="Y31" s="24">
        <v>40</v>
      </c>
      <c r="Z31" s="24">
        <v>40</v>
      </c>
      <c r="AA31" s="24">
        <v>40</v>
      </c>
      <c r="AB31" s="24">
        <v>40</v>
      </c>
      <c r="AC31" s="24">
        <v>40</v>
      </c>
      <c r="AD31" s="24">
        <v>40</v>
      </c>
      <c r="AE31" s="24">
        <v>40</v>
      </c>
      <c r="AF31" s="24">
        <v>40</v>
      </c>
      <c r="AG31" s="24">
        <v>40</v>
      </c>
      <c r="AH31" s="24">
        <v>40</v>
      </c>
      <c r="AI31" s="24">
        <v>40</v>
      </c>
      <c r="AJ31" s="24">
        <v>40</v>
      </c>
      <c r="AK31" s="24">
        <v>40</v>
      </c>
      <c r="AL31" s="24">
        <v>40</v>
      </c>
      <c r="AM31" s="24">
        <v>40</v>
      </c>
      <c r="AN31" s="24">
        <v>40</v>
      </c>
      <c r="AO31" s="24">
        <v>40</v>
      </c>
      <c r="AP31" s="24">
        <v>40</v>
      </c>
      <c r="AQ31" s="24">
        <v>40</v>
      </c>
      <c r="AR31" s="24">
        <v>40</v>
      </c>
      <c r="AS31" s="24">
        <v>40</v>
      </c>
      <c r="AT31" s="24">
        <v>40</v>
      </c>
      <c r="AU31" s="23">
        <v>40</v>
      </c>
      <c r="AV31" s="23">
        <v>40</v>
      </c>
      <c r="AW31" s="23">
        <v>40</v>
      </c>
      <c r="AX31" s="23">
        <v>40</v>
      </c>
      <c r="AY31" s="23">
        <v>40</v>
      </c>
      <c r="AZ31" s="23">
        <v>40</v>
      </c>
      <c r="BA31" s="23">
        <v>40</v>
      </c>
      <c r="BB31" s="23">
        <v>40</v>
      </c>
      <c r="BC31" s="23">
        <v>40</v>
      </c>
      <c r="BD31" s="23">
        <v>40</v>
      </c>
      <c r="BE31" s="23">
        <v>40</v>
      </c>
      <c r="BF31" s="23">
        <v>40</v>
      </c>
      <c r="BG31" s="23"/>
      <c r="BH31" s="23"/>
      <c r="BI31" s="23"/>
      <c r="BJ31" s="23"/>
      <c r="BK31" s="23"/>
    </row>
    <row r="32" spans="3:63" ht="15">
      <c r="C32" s="94" t="s">
        <v>116</v>
      </c>
      <c r="D32" s="63" t="s">
        <v>102</v>
      </c>
      <c r="E32" s="56" t="s">
        <v>105</v>
      </c>
      <c r="F32" s="24" t="s">
        <v>114</v>
      </c>
      <c r="G32" s="56"/>
      <c r="H32" s="23" t="s">
        <v>117</v>
      </c>
      <c r="I32" s="57">
        <f t="shared" si="10"/>
        <v>1560</v>
      </c>
      <c r="J32" s="65">
        <f>IFERROR(VLOOKUP(D32,Rates!$A$2:$C$26,3,TRUE),"-")</f>
        <v>90</v>
      </c>
      <c r="K32" s="59">
        <f t="shared" si="8"/>
        <v>90</v>
      </c>
      <c r="L32" s="65">
        <f>IFERROR(VLOOKUP(D32,Rates!$A$2:$C$26,2,TRUE),"-")</f>
        <v>53.886669260251011</v>
      </c>
      <c r="M32" s="58" cm="1">
        <f t="array" ref="M32">IF(Table1[[#This Row],[Total Hours]]=0,"-",SUMPRODUCT(Table1[[#This Row],[WK0]:[WK45]], Table1[[#This Row],[Bill Rate]]*IF(COLUMN(Table1[[#This Row],[WK0]:[WK45]])-COLUMN(Table1[[#This Row],[WK0]])&gt;=$D$5, 1+$D$4, 1)))</f>
        <v>140400</v>
      </c>
      <c r="N32" s="58" cm="1">
        <f t="array" ref="N32">IF(Table1[[#This Row],[Total Hours]]=0,"-",SUMPRODUCT(Table1[[#This Row],[WK0]:[WK45]], Table1[[#This Row],[Cost Rate]]*IF(COLUMN(Table1[[#This Row],[WK0]:[WK45]])-COLUMN(Table1[[#This Row],[WK0]])&gt;=$D$5, 1+$D$4, 1)))</f>
        <v>84063.204045991617</v>
      </c>
      <c r="O32" s="60">
        <f t="shared" si="3"/>
        <v>0.40125923044165512</v>
      </c>
      <c r="P32" s="66">
        <f t="shared" si="4"/>
        <v>0</v>
      </c>
      <c r="Q32" s="54">
        <f t="shared" si="9"/>
        <v>2.1577294047494637E-2</v>
      </c>
      <c r="R32" s="51"/>
      <c r="S32" s="24">
        <v>20</v>
      </c>
      <c r="T32" s="24">
        <v>20</v>
      </c>
      <c r="U32" s="24">
        <v>40</v>
      </c>
      <c r="V32" s="24">
        <v>40</v>
      </c>
      <c r="W32" s="24">
        <v>40</v>
      </c>
      <c r="X32" s="24">
        <v>40</v>
      </c>
      <c r="Y32" s="24">
        <v>40</v>
      </c>
      <c r="Z32" s="24">
        <v>40</v>
      </c>
      <c r="AA32" s="24">
        <v>40</v>
      </c>
      <c r="AB32" s="24">
        <v>40</v>
      </c>
      <c r="AC32" s="24">
        <v>40</v>
      </c>
      <c r="AD32" s="24">
        <v>40</v>
      </c>
      <c r="AE32" s="24">
        <v>40</v>
      </c>
      <c r="AF32" s="24">
        <v>40</v>
      </c>
      <c r="AG32" s="24">
        <v>40</v>
      </c>
      <c r="AH32" s="24">
        <v>40</v>
      </c>
      <c r="AI32" s="24">
        <v>40</v>
      </c>
      <c r="AJ32" s="24">
        <v>40</v>
      </c>
      <c r="AK32" s="24">
        <v>40</v>
      </c>
      <c r="AL32" s="24">
        <v>40</v>
      </c>
      <c r="AM32" s="24">
        <v>40</v>
      </c>
      <c r="AN32" s="24">
        <v>40</v>
      </c>
      <c r="AO32" s="24">
        <v>40</v>
      </c>
      <c r="AP32" s="24">
        <v>40</v>
      </c>
      <c r="AQ32" s="24">
        <v>40</v>
      </c>
      <c r="AR32" s="24">
        <v>40</v>
      </c>
      <c r="AS32" s="24">
        <v>40</v>
      </c>
      <c r="AT32" s="24">
        <v>40</v>
      </c>
      <c r="AU32" s="23">
        <v>40</v>
      </c>
      <c r="AV32" s="23">
        <v>40</v>
      </c>
      <c r="AW32" s="23">
        <v>40</v>
      </c>
      <c r="AX32" s="23">
        <v>40</v>
      </c>
      <c r="AY32" s="23">
        <v>40</v>
      </c>
      <c r="AZ32" s="23">
        <v>40</v>
      </c>
      <c r="BA32" s="23">
        <v>40</v>
      </c>
      <c r="BB32" s="23">
        <v>40</v>
      </c>
      <c r="BC32" s="23">
        <v>40</v>
      </c>
      <c r="BD32" s="23">
        <v>40</v>
      </c>
      <c r="BE32" s="23">
        <v>40</v>
      </c>
      <c r="BF32" s="23">
        <v>40</v>
      </c>
      <c r="BG32" s="23"/>
      <c r="BH32" s="23"/>
      <c r="BI32" s="23"/>
      <c r="BJ32" s="23"/>
      <c r="BK32" s="23"/>
    </row>
    <row r="33" spans="3:63" ht="15">
      <c r="C33" s="94" t="s">
        <v>116</v>
      </c>
      <c r="D33" s="63" t="s">
        <v>102</v>
      </c>
      <c r="E33" s="56" t="s">
        <v>118</v>
      </c>
      <c r="F33" s="24" t="s">
        <v>114</v>
      </c>
      <c r="G33" s="56"/>
      <c r="H33" s="23" t="s">
        <v>117</v>
      </c>
      <c r="I33" s="57">
        <f t="shared" ref="I33" si="11">SUM(R33:BK33)</f>
        <v>1560</v>
      </c>
      <c r="J33" s="65">
        <f>IFERROR(VLOOKUP(D33,Rates!$A$2:$C$26,3,TRUE),"-")</f>
        <v>90</v>
      </c>
      <c r="K33" s="59">
        <f t="shared" si="8"/>
        <v>90</v>
      </c>
      <c r="L33" s="65">
        <f>IFERROR(VLOOKUP(D33,Rates!$A$2:$C$26,2,TRUE),"-")</f>
        <v>53.886669260251011</v>
      </c>
      <c r="M33" s="58" cm="1">
        <f t="array" ref="M33">IF(Table1[[#This Row],[Total Hours]]=0,"-",SUMPRODUCT(Table1[[#This Row],[WK0]:[WK45]], Table1[[#This Row],[Bill Rate]]*IF(COLUMN(Table1[[#This Row],[WK0]:[WK45]])-COLUMN(Table1[[#This Row],[WK0]])&gt;=$D$5, 1+$D$4, 1)))</f>
        <v>140400</v>
      </c>
      <c r="N33" s="58" cm="1">
        <f t="array" ref="N33">IF(Table1[[#This Row],[Total Hours]]=0,"-",SUMPRODUCT(Table1[[#This Row],[WK0]:[WK45]], Table1[[#This Row],[Cost Rate]]*IF(COLUMN(Table1[[#This Row],[WK0]:[WK45]])-COLUMN(Table1[[#This Row],[WK0]])&gt;=$D$5, 1+$D$4, 1)))</f>
        <v>84063.204045991617</v>
      </c>
      <c r="O33" s="60">
        <f t="shared" ref="O33" si="12">IFERROR((M33-N33)/M33,"-")</f>
        <v>0.40125923044165512</v>
      </c>
      <c r="P33" s="66">
        <f t="shared" ref="P33" si="13">IFERROR((J33-K33)/J33,0)</f>
        <v>0</v>
      </c>
      <c r="Q33" s="54">
        <f t="shared" si="9"/>
        <v>2.1577294047494637E-2</v>
      </c>
      <c r="R33" s="51"/>
      <c r="S33" s="24">
        <v>20</v>
      </c>
      <c r="T33" s="24">
        <v>20</v>
      </c>
      <c r="U33" s="24">
        <v>40</v>
      </c>
      <c r="V33" s="24">
        <v>40</v>
      </c>
      <c r="W33" s="24">
        <v>40</v>
      </c>
      <c r="X33" s="24">
        <v>40</v>
      </c>
      <c r="Y33" s="24">
        <v>40</v>
      </c>
      <c r="Z33" s="24">
        <v>40</v>
      </c>
      <c r="AA33" s="24">
        <v>40</v>
      </c>
      <c r="AB33" s="24">
        <v>40</v>
      </c>
      <c r="AC33" s="24">
        <v>40</v>
      </c>
      <c r="AD33" s="24">
        <v>40</v>
      </c>
      <c r="AE33" s="24">
        <v>40</v>
      </c>
      <c r="AF33" s="24">
        <v>40</v>
      </c>
      <c r="AG33" s="24">
        <v>40</v>
      </c>
      <c r="AH33" s="24">
        <v>40</v>
      </c>
      <c r="AI33" s="24">
        <v>40</v>
      </c>
      <c r="AJ33" s="24">
        <v>40</v>
      </c>
      <c r="AK33" s="24">
        <v>40</v>
      </c>
      <c r="AL33" s="24">
        <v>40</v>
      </c>
      <c r="AM33" s="24">
        <v>40</v>
      </c>
      <c r="AN33" s="24">
        <v>40</v>
      </c>
      <c r="AO33" s="24">
        <v>40</v>
      </c>
      <c r="AP33" s="24">
        <v>40</v>
      </c>
      <c r="AQ33" s="24">
        <v>40</v>
      </c>
      <c r="AR33" s="24">
        <v>40</v>
      </c>
      <c r="AS33" s="24">
        <v>40</v>
      </c>
      <c r="AT33" s="24">
        <v>40</v>
      </c>
      <c r="AU33" s="23">
        <v>40</v>
      </c>
      <c r="AV33" s="23">
        <v>40</v>
      </c>
      <c r="AW33" s="23">
        <v>40</v>
      </c>
      <c r="AX33" s="23">
        <v>40</v>
      </c>
      <c r="AY33" s="23">
        <v>40</v>
      </c>
      <c r="AZ33" s="23">
        <v>40</v>
      </c>
      <c r="BA33" s="23">
        <v>40</v>
      </c>
      <c r="BB33" s="23">
        <v>40</v>
      </c>
      <c r="BC33" s="23">
        <v>40</v>
      </c>
      <c r="BD33" s="23">
        <v>40</v>
      </c>
      <c r="BE33" s="23">
        <v>40</v>
      </c>
      <c r="BF33" s="23">
        <v>40</v>
      </c>
      <c r="BG33" s="23"/>
      <c r="BH33" s="23"/>
      <c r="BI33" s="23"/>
      <c r="BJ33" s="23"/>
      <c r="BK33" s="23"/>
    </row>
    <row r="34" spans="3:63" ht="15">
      <c r="C34" s="94" t="s">
        <v>119</v>
      </c>
      <c r="D34" s="63" t="s">
        <v>102</v>
      </c>
      <c r="E34" s="56" t="s">
        <v>120</v>
      </c>
      <c r="F34" s="24" t="s">
        <v>114</v>
      </c>
      <c r="G34" s="56"/>
      <c r="H34" s="23" t="s">
        <v>117</v>
      </c>
      <c r="I34" s="57">
        <f t="shared" si="10"/>
        <v>640</v>
      </c>
      <c r="J34" s="65">
        <f>IFERROR(VLOOKUP(D34,Rates!$A$2:$C$26,3,TRUE),"-")</f>
        <v>90</v>
      </c>
      <c r="K34" s="59">
        <f t="shared" si="8"/>
        <v>90</v>
      </c>
      <c r="L34" s="65">
        <f>IFERROR(VLOOKUP(D34,Rates!$A$2:$C$26,2,TRUE),"-")</f>
        <v>53.886669260251011</v>
      </c>
      <c r="M34" s="58" cm="1">
        <f t="array" ref="M34">IF(Table1[[#This Row],[Total Hours]]=0,"-",SUMPRODUCT(Table1[[#This Row],[WK0]:[WK45]], Table1[[#This Row],[Bill Rate]]*IF(COLUMN(Table1[[#This Row],[WK0]:[WK45]])-COLUMN(Table1[[#This Row],[WK0]])&gt;=$D$5, 1+$D$4, 1)))</f>
        <v>57600</v>
      </c>
      <c r="N34" s="58" cm="1">
        <f t="array" ref="N34">IF(Table1[[#This Row],[Total Hours]]=0,"-",SUMPRODUCT(Table1[[#This Row],[WK0]:[WK45]], Table1[[#This Row],[Cost Rate]]*IF(COLUMN(Table1[[#This Row],[WK0]:[WK45]])-COLUMN(Table1[[#This Row],[WK0]])&gt;=$D$5, 1+$D$4, 1)))</f>
        <v>34487.468326560636</v>
      </c>
      <c r="O34" s="60">
        <f t="shared" si="3"/>
        <v>0.40125923044165562</v>
      </c>
      <c r="P34" s="66">
        <f t="shared" si="4"/>
        <v>0</v>
      </c>
      <c r="Q34" s="54">
        <f t="shared" si="9"/>
        <v>8.8522231989721593E-3</v>
      </c>
      <c r="R34" s="51"/>
      <c r="S34" s="24">
        <v>16</v>
      </c>
      <c r="T34" s="24">
        <v>16</v>
      </c>
      <c r="U34" s="24">
        <v>16</v>
      </c>
      <c r="V34" s="24">
        <v>16</v>
      </c>
      <c r="W34" s="24">
        <v>16</v>
      </c>
      <c r="X34" s="24">
        <v>16</v>
      </c>
      <c r="Y34" s="24">
        <v>16</v>
      </c>
      <c r="Z34" s="24">
        <v>16</v>
      </c>
      <c r="AA34" s="24">
        <v>16</v>
      </c>
      <c r="AB34" s="24">
        <v>16</v>
      </c>
      <c r="AC34" s="24">
        <v>16</v>
      </c>
      <c r="AD34" s="24">
        <v>16</v>
      </c>
      <c r="AE34" s="24">
        <v>16</v>
      </c>
      <c r="AF34" s="24">
        <v>16</v>
      </c>
      <c r="AG34" s="24">
        <v>16</v>
      </c>
      <c r="AH34" s="24">
        <v>16</v>
      </c>
      <c r="AI34" s="24">
        <v>16</v>
      </c>
      <c r="AJ34" s="24">
        <v>16</v>
      </c>
      <c r="AK34" s="24">
        <v>16</v>
      </c>
      <c r="AL34" s="24">
        <v>16</v>
      </c>
      <c r="AM34" s="24">
        <v>16</v>
      </c>
      <c r="AN34" s="24">
        <v>16</v>
      </c>
      <c r="AO34" s="24">
        <v>16</v>
      </c>
      <c r="AP34" s="24">
        <v>16</v>
      </c>
      <c r="AQ34" s="24">
        <v>16</v>
      </c>
      <c r="AR34" s="24">
        <v>16</v>
      </c>
      <c r="AS34" s="24">
        <v>16</v>
      </c>
      <c r="AT34" s="24">
        <v>16</v>
      </c>
      <c r="AU34" s="23">
        <v>16</v>
      </c>
      <c r="AV34" s="23">
        <v>16</v>
      </c>
      <c r="AW34" s="23">
        <v>16</v>
      </c>
      <c r="AX34" s="23">
        <v>16</v>
      </c>
      <c r="AY34" s="23">
        <v>16</v>
      </c>
      <c r="AZ34" s="23">
        <v>16</v>
      </c>
      <c r="BA34" s="23">
        <v>16</v>
      </c>
      <c r="BB34" s="23">
        <v>16</v>
      </c>
      <c r="BC34" s="23">
        <v>16</v>
      </c>
      <c r="BD34" s="23">
        <v>16</v>
      </c>
      <c r="BE34" s="23">
        <v>16</v>
      </c>
      <c r="BF34" s="23">
        <v>16</v>
      </c>
      <c r="BG34" s="23"/>
      <c r="BH34" s="23"/>
      <c r="BI34" s="23"/>
      <c r="BJ34" s="23"/>
      <c r="BK34" s="23"/>
    </row>
    <row r="35" spans="3:63" ht="15">
      <c r="C35" s="96"/>
      <c r="D35" s="56"/>
      <c r="E35" s="56" t="s">
        <v>121</v>
      </c>
      <c r="F35" s="24" t="s">
        <v>122</v>
      </c>
      <c r="G35" s="56"/>
      <c r="H35" s="23" t="s">
        <v>117</v>
      </c>
      <c r="I35" s="57">
        <f t="shared" si="10"/>
        <v>0</v>
      </c>
      <c r="J35" s="58" t="str">
        <f>IFERROR(VLOOKUP(D35,Rates!$A$2:$C$26,3,TRUE),"-")</f>
        <v>-</v>
      </c>
      <c r="K35" s="59" t="str">
        <f t="shared" ref="K35:K55" si="14">J35</f>
        <v>-</v>
      </c>
      <c r="L35" s="58" t="str">
        <f>IFERROR(VLOOKUP(D35,Rates!$A$2:$C$26,2,TRUE),"-")</f>
        <v>-</v>
      </c>
      <c r="M35" s="58" t="str" cm="1">
        <f t="array" ref="M35">IF(Table1[[#This Row],[Total Hours]]=0,"-",SUMPRODUCT(Table1[[#This Row],[WK0]:[WK45]], Table1[[#This Row],[Bill Rate]]*IF(COLUMN(Table1[[#This Row],[WK0]:[WK45]])-COLUMN(Table1[[#This Row],[WK0]])&gt;=$D$5, 1+$D$4, 1)))</f>
        <v>-</v>
      </c>
      <c r="N35" s="58" t="str" cm="1">
        <f t="array" ref="N35">IF(Table1[[#This Row],[Total Hours]]=0,"-",SUMPRODUCT(Table1[[#This Row],[WK0]:[WK45]], Table1[[#This Row],[Cost Rate]]*IF(COLUMN(Table1[[#This Row],[WK0]:[WK45]])-COLUMN(Table1[[#This Row],[WK0]])&gt;=$D$5, 1+$D$4, 1)))</f>
        <v>-</v>
      </c>
      <c r="O35" s="60" t="str">
        <f t="shared" ref="O35:O55" si="15">IFERROR((M35-N35)/M35,"-")</f>
        <v>-</v>
      </c>
      <c r="P35" s="60">
        <f t="shared" ref="P35:P55" si="16">IFERROR((J35-K35)/J35,0)</f>
        <v>0</v>
      </c>
      <c r="Q35" s="117">
        <f t="shared" ref="Q35:Q55" si="17">IFERROR(M35/$B$7,0)</f>
        <v>0</v>
      </c>
      <c r="R35" s="48"/>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row>
    <row r="36" spans="3:63" ht="15">
      <c r="C36" s="95" t="s">
        <v>123</v>
      </c>
      <c r="D36" s="42">
        <f>SUM(Q37:Q41)</f>
        <v>0.40683342451942878</v>
      </c>
      <c r="E36" s="22"/>
      <c r="F36" s="22"/>
      <c r="G36" s="22"/>
      <c r="H36" s="22"/>
      <c r="I36" s="22"/>
      <c r="J36" s="22"/>
      <c r="K36" s="22"/>
      <c r="L36" s="22"/>
      <c r="M36" s="22" t="str" cm="1">
        <f t="array" ref="M36">IF(Table1[[#This Row],[Total Hours]]=0,"-",SUMPRODUCT(Table1[[#This Row],[WK0]:[WK45]], Table1[[#This Row],[Bill Rate]]*IF(COLUMN(Table1[[#This Row],[WK0]:[WK45]])-COLUMN(Table1[[#This Row],[WK0]])&gt;=$D$5, 1+$D$4, 1)))</f>
        <v>-</v>
      </c>
      <c r="N36" s="22" t="str" cm="1">
        <f t="array" ref="N36">IF(Table1[[#This Row],[Total Hours]]=0,"-",SUMPRODUCT(Table1[[#This Row],[WK0]:[WK45]], Table1[[#This Row],[Cost Rate]]*IF(COLUMN(Table1[[#This Row],[WK0]:[WK45]])-COLUMN(Table1[[#This Row],[WK0]])&gt;=$D$5, 1+$D$4, 1)))</f>
        <v>-</v>
      </c>
      <c r="O36" s="22"/>
      <c r="P36" s="22"/>
      <c r="Q36" s="46"/>
      <c r="R36" s="50"/>
      <c r="S36" s="62"/>
      <c r="T36" s="62"/>
      <c r="U36" s="62"/>
      <c r="V36" s="62"/>
      <c r="W36" s="62"/>
      <c r="X36" s="62"/>
      <c r="Y36" s="62"/>
      <c r="Z36" s="62"/>
      <c r="AA36" s="62"/>
      <c r="AB36" s="62"/>
      <c r="AC36" s="62"/>
      <c r="AD36" s="62"/>
      <c r="AE36" s="62"/>
      <c r="AF36" s="62"/>
      <c r="AG36" s="62"/>
      <c r="AH36" s="62"/>
      <c r="AI36" s="62"/>
      <c r="AJ36" s="62"/>
      <c r="AK36" s="62"/>
      <c r="AL36" s="62"/>
      <c r="AM36" s="62"/>
      <c r="AN36" s="62"/>
      <c r="AO36" s="62"/>
      <c r="AP36" s="62"/>
      <c r="AQ36" s="62"/>
      <c r="AR36" s="62"/>
      <c r="AS36" s="62"/>
      <c r="AT36" s="62"/>
      <c r="AU36" s="23"/>
      <c r="AV36" s="23"/>
      <c r="AW36" s="23"/>
      <c r="AX36" s="23"/>
      <c r="AY36" s="23"/>
      <c r="AZ36" s="23"/>
      <c r="BA36" s="23"/>
      <c r="BB36" s="23"/>
      <c r="BC36" s="23"/>
      <c r="BD36" s="23"/>
      <c r="BE36" s="23"/>
      <c r="BF36" s="23"/>
      <c r="BG36" s="23"/>
      <c r="BH36" s="23"/>
      <c r="BI36" s="23"/>
      <c r="BJ36" s="23"/>
      <c r="BK36" s="23"/>
    </row>
    <row r="37" spans="3:63" ht="15">
      <c r="C37" s="96" t="s">
        <v>124</v>
      </c>
      <c r="D37" s="56" t="s">
        <v>125</v>
      </c>
      <c r="E37" s="56" t="s">
        <v>126</v>
      </c>
      <c r="F37" s="24" t="s">
        <v>97</v>
      </c>
      <c r="G37" s="56"/>
      <c r="H37" s="23" t="s">
        <v>127</v>
      </c>
      <c r="I37" s="57">
        <f>SUM(R37:BK37)</f>
        <v>808</v>
      </c>
      <c r="J37" s="58">
        <f>IFERROR(VLOOKUP(D37,Rates!$A$2:$C$26,3,TRUE),"-")</f>
        <v>500</v>
      </c>
      <c r="K37" s="59">
        <f t="shared" ref="K37:K52" si="18">J37</f>
        <v>500</v>
      </c>
      <c r="L37" s="58">
        <f>IFERROR(VLOOKUP(D37,Rates!$A$2:$C$26,2,TRUE),"-")</f>
        <v>367.310874209757</v>
      </c>
      <c r="M37" s="58" cm="1">
        <f t="array" ref="M37">IF(Table1[[#This Row],[Total Hours]]=0,"-",SUMPRODUCT(Table1[[#This Row],[WK0]:[WK45]], Table1[[#This Row],[Bill Rate]]*IF(COLUMN(Table1[[#This Row],[WK0]:[WK45]])-COLUMN(Table1[[#This Row],[WK0]])&gt;=$D$5, 1+$D$4, 1)))</f>
        <v>404000</v>
      </c>
      <c r="N37" s="58" cm="1">
        <f t="array" ref="N37">IF(Table1[[#This Row],[Total Hours]]=0,"-",SUMPRODUCT(Table1[[#This Row],[WK0]:[WK45]], Table1[[#This Row],[Cost Rate]]*IF(COLUMN(Table1[[#This Row],[WK0]:[WK45]])-COLUMN(Table1[[#This Row],[WK0]])&gt;=$D$5, 1+$D$4, 1)))</f>
        <v>296787.18636148353</v>
      </c>
      <c r="O37" s="60">
        <f t="shared" ref="O37:O52" si="19">IFERROR((M37-N37)/M37,"-")</f>
        <v>0.26537825158048634</v>
      </c>
      <c r="P37" s="60">
        <f t="shared" ref="P37:P52" si="20">IFERROR((J37-K37)/J37,0)</f>
        <v>0</v>
      </c>
      <c r="Q37" s="117">
        <f t="shared" ref="Q37:Q52" si="21">IFERROR(M37/$B$7,0)</f>
        <v>6.2088509937235276E-2</v>
      </c>
      <c r="R37" s="48">
        <v>8</v>
      </c>
      <c r="S37" s="23">
        <v>20</v>
      </c>
      <c r="T37" s="23">
        <v>20</v>
      </c>
      <c r="U37" s="23">
        <v>20</v>
      </c>
      <c r="V37" s="23">
        <v>20</v>
      </c>
      <c r="W37" s="23">
        <v>20</v>
      </c>
      <c r="X37" s="23">
        <v>20</v>
      </c>
      <c r="Y37" s="23">
        <v>20</v>
      </c>
      <c r="Z37" s="23">
        <v>20</v>
      </c>
      <c r="AA37" s="23">
        <v>20</v>
      </c>
      <c r="AB37" s="23">
        <v>20</v>
      </c>
      <c r="AC37" s="23">
        <v>20</v>
      </c>
      <c r="AD37" s="23">
        <v>20</v>
      </c>
      <c r="AE37" s="23">
        <v>20</v>
      </c>
      <c r="AF37" s="23">
        <v>20</v>
      </c>
      <c r="AG37" s="23">
        <v>20</v>
      </c>
      <c r="AH37" s="23">
        <v>20</v>
      </c>
      <c r="AI37" s="23">
        <v>20</v>
      </c>
      <c r="AJ37" s="23">
        <v>20</v>
      </c>
      <c r="AK37" s="23">
        <v>20</v>
      </c>
      <c r="AL37" s="23">
        <v>20</v>
      </c>
      <c r="AM37" s="23">
        <v>20</v>
      </c>
      <c r="AN37" s="23">
        <v>20</v>
      </c>
      <c r="AO37" s="23">
        <v>20</v>
      </c>
      <c r="AP37" s="23">
        <v>20</v>
      </c>
      <c r="AQ37" s="23">
        <v>20</v>
      </c>
      <c r="AR37" s="23">
        <v>20</v>
      </c>
      <c r="AS37" s="23">
        <v>20</v>
      </c>
      <c r="AT37" s="23">
        <v>20</v>
      </c>
      <c r="AU37" s="23">
        <v>20</v>
      </c>
      <c r="AV37" s="23">
        <v>20</v>
      </c>
      <c r="AW37" s="23">
        <v>20</v>
      </c>
      <c r="AX37" s="23">
        <v>20</v>
      </c>
      <c r="AY37" s="23">
        <v>20</v>
      </c>
      <c r="AZ37" s="23">
        <v>20</v>
      </c>
      <c r="BA37" s="23">
        <v>20</v>
      </c>
      <c r="BB37" s="23">
        <v>20</v>
      </c>
      <c r="BC37" s="23">
        <v>20</v>
      </c>
      <c r="BD37" s="23">
        <v>20</v>
      </c>
      <c r="BE37" s="23">
        <v>20</v>
      </c>
      <c r="BF37" s="23">
        <v>20</v>
      </c>
      <c r="BG37" s="23"/>
      <c r="BH37" s="23"/>
      <c r="BI37" s="23"/>
      <c r="BJ37" s="23"/>
      <c r="BK37" s="23"/>
    </row>
    <row r="38" spans="3:63" ht="13.5" customHeight="1">
      <c r="C38" s="96" t="s">
        <v>128</v>
      </c>
      <c r="D38" s="56" t="s">
        <v>129</v>
      </c>
      <c r="E38" s="56" t="s">
        <v>130</v>
      </c>
      <c r="F38" s="24" t="s">
        <v>97</v>
      </c>
      <c r="G38" s="56"/>
      <c r="H38" s="23" t="s">
        <v>131</v>
      </c>
      <c r="I38" s="57">
        <f t="shared" ref="I38:I49" si="22">SUM(R38:BK38)</f>
        <v>808</v>
      </c>
      <c r="J38" s="58">
        <f>IFERROR(VLOOKUP(D38,Rates!$A$2:$C$26,3,TRUE),"-")</f>
        <v>400</v>
      </c>
      <c r="K38" s="59">
        <f t="shared" si="18"/>
        <v>400</v>
      </c>
      <c r="L38" s="58">
        <f>IFERROR(VLOOKUP(D38,Rates!$A$2:$C$26,2,TRUE),"-")</f>
        <v>360.62809483721668</v>
      </c>
      <c r="M38" s="58" cm="1">
        <f t="array" ref="M38">IF(Table1[[#This Row],[Total Hours]]=0,"-",SUMPRODUCT(Table1[[#This Row],[WK0]:[WK45]], Table1[[#This Row],[Bill Rate]]*IF(COLUMN(Table1[[#This Row],[WK0]:[WK45]])-COLUMN(Table1[[#This Row],[WK0]])&gt;=$D$5, 1+$D$4, 1)))</f>
        <v>323200</v>
      </c>
      <c r="N38" s="58" cm="1">
        <f t="array" ref="N38">IF(Table1[[#This Row],[Total Hours]]=0,"-",SUMPRODUCT(Table1[[#This Row],[WK0]:[WK45]], Table1[[#This Row],[Cost Rate]]*IF(COLUMN(Table1[[#This Row],[WK0]:[WK45]])-COLUMN(Table1[[#This Row],[WK0]])&gt;=$D$5, 1+$D$4, 1)))</f>
        <v>291387.50062847108</v>
      </c>
      <c r="O38" s="60">
        <f t="shared" si="19"/>
        <v>9.8429762906958276E-2</v>
      </c>
      <c r="P38" s="60">
        <f t="shared" si="20"/>
        <v>0</v>
      </c>
      <c r="Q38" s="117">
        <f t="shared" si="21"/>
        <v>4.9670807949788225E-2</v>
      </c>
      <c r="R38" s="48">
        <v>8</v>
      </c>
      <c r="S38" s="23">
        <v>20</v>
      </c>
      <c r="T38" s="23">
        <v>20</v>
      </c>
      <c r="U38" s="23">
        <v>20</v>
      </c>
      <c r="V38" s="23">
        <v>20</v>
      </c>
      <c r="W38" s="23">
        <v>20</v>
      </c>
      <c r="X38" s="23">
        <v>20</v>
      </c>
      <c r="Y38" s="23">
        <v>20</v>
      </c>
      <c r="Z38" s="23">
        <v>20</v>
      </c>
      <c r="AA38" s="23">
        <v>20</v>
      </c>
      <c r="AB38" s="23">
        <v>20</v>
      </c>
      <c r="AC38" s="23">
        <v>20</v>
      </c>
      <c r="AD38" s="23">
        <v>20</v>
      </c>
      <c r="AE38" s="23">
        <v>20</v>
      </c>
      <c r="AF38" s="23">
        <v>20</v>
      </c>
      <c r="AG38" s="23">
        <v>20</v>
      </c>
      <c r="AH38" s="23">
        <v>20</v>
      </c>
      <c r="AI38" s="23">
        <v>20</v>
      </c>
      <c r="AJ38" s="23">
        <v>20</v>
      </c>
      <c r="AK38" s="23">
        <v>20</v>
      </c>
      <c r="AL38" s="23">
        <v>20</v>
      </c>
      <c r="AM38" s="23">
        <v>20</v>
      </c>
      <c r="AN38" s="23">
        <v>20</v>
      </c>
      <c r="AO38" s="23">
        <v>20</v>
      </c>
      <c r="AP38" s="23">
        <v>20</v>
      </c>
      <c r="AQ38" s="23">
        <v>20</v>
      </c>
      <c r="AR38" s="23">
        <v>20</v>
      </c>
      <c r="AS38" s="23">
        <v>20</v>
      </c>
      <c r="AT38" s="23">
        <v>20</v>
      </c>
      <c r="AU38" s="23">
        <v>20</v>
      </c>
      <c r="AV38" s="23">
        <v>20</v>
      </c>
      <c r="AW38" s="23">
        <v>20</v>
      </c>
      <c r="AX38" s="23">
        <v>20</v>
      </c>
      <c r="AY38" s="23">
        <v>20</v>
      </c>
      <c r="AZ38" s="23">
        <v>20</v>
      </c>
      <c r="BA38" s="23">
        <v>20</v>
      </c>
      <c r="BB38" s="23">
        <v>20</v>
      </c>
      <c r="BC38" s="23">
        <v>20</v>
      </c>
      <c r="BD38" s="23">
        <v>20</v>
      </c>
      <c r="BE38" s="23">
        <v>20</v>
      </c>
      <c r="BF38" s="23">
        <v>20</v>
      </c>
      <c r="BG38" s="23"/>
      <c r="BH38" s="23"/>
      <c r="BI38" s="23"/>
      <c r="BJ38" s="23"/>
      <c r="BK38" s="23"/>
    </row>
    <row r="39" spans="3:63" ht="14.45" customHeight="1">
      <c r="C39" s="96" t="s">
        <v>128</v>
      </c>
      <c r="D39" s="56" t="s">
        <v>129</v>
      </c>
      <c r="E39" s="56" t="s">
        <v>132</v>
      </c>
      <c r="F39" s="24" t="s">
        <v>97</v>
      </c>
      <c r="G39" s="56"/>
      <c r="H39" s="23" t="s">
        <v>133</v>
      </c>
      <c r="I39" s="57">
        <f t="shared" si="22"/>
        <v>1600</v>
      </c>
      <c r="J39" s="58">
        <f>IFERROR(VLOOKUP(D39,Rates!$A$2:$C$26,3,TRUE),"-")</f>
        <v>400</v>
      </c>
      <c r="K39" s="59">
        <f t="shared" si="18"/>
        <v>400</v>
      </c>
      <c r="L39" s="58">
        <f>IFERROR(VLOOKUP(D39,Rates!$A$2:$C$26,2,TRUE),"-")</f>
        <v>360.62809483721668</v>
      </c>
      <c r="M39" s="58" cm="1">
        <f t="array" ref="M39">IF(Table1[[#This Row],[Total Hours]]=0,"-",SUMPRODUCT(Table1[[#This Row],[WK0]:[WK45]], Table1[[#This Row],[Bill Rate]]*IF(COLUMN(Table1[[#This Row],[WK0]:[WK45]])-COLUMN(Table1[[#This Row],[WK0]])&gt;=$D$5, 1+$D$4, 1)))</f>
        <v>640000</v>
      </c>
      <c r="N39" s="58" cm="1">
        <f t="array" ref="N39">IF(Table1[[#This Row],[Total Hours]]=0,"-",SUMPRODUCT(Table1[[#This Row],[WK0]:[WK45]], Table1[[#This Row],[Cost Rate]]*IF(COLUMN(Table1[[#This Row],[WK0]:[WK45]])-COLUMN(Table1[[#This Row],[WK0]])&gt;=$D$5, 1+$D$4, 1)))</f>
        <v>577004.95173954661</v>
      </c>
      <c r="O39" s="60">
        <f t="shared" si="19"/>
        <v>9.8429762906958415E-2</v>
      </c>
      <c r="P39" s="60">
        <f t="shared" si="20"/>
        <v>0</v>
      </c>
      <c r="Q39" s="117">
        <f t="shared" si="21"/>
        <v>9.8358035544135095E-2</v>
      </c>
      <c r="R39" s="48"/>
      <c r="S39" s="23">
        <v>40</v>
      </c>
      <c r="T39" s="23">
        <v>40</v>
      </c>
      <c r="U39" s="23">
        <v>40</v>
      </c>
      <c r="V39" s="23">
        <v>40</v>
      </c>
      <c r="W39" s="23">
        <v>40</v>
      </c>
      <c r="X39" s="23">
        <v>40</v>
      </c>
      <c r="Y39" s="23">
        <v>40</v>
      </c>
      <c r="Z39" s="23">
        <v>40</v>
      </c>
      <c r="AA39" s="23">
        <v>40</v>
      </c>
      <c r="AB39" s="23">
        <v>40</v>
      </c>
      <c r="AC39" s="23">
        <v>40</v>
      </c>
      <c r="AD39" s="23">
        <v>40</v>
      </c>
      <c r="AE39" s="23">
        <v>40</v>
      </c>
      <c r="AF39" s="23">
        <v>40</v>
      </c>
      <c r="AG39" s="23">
        <v>40</v>
      </c>
      <c r="AH39" s="23">
        <v>40</v>
      </c>
      <c r="AI39" s="23">
        <v>40</v>
      </c>
      <c r="AJ39" s="23">
        <v>40</v>
      </c>
      <c r="AK39" s="23">
        <v>40</v>
      </c>
      <c r="AL39" s="23">
        <v>40</v>
      </c>
      <c r="AM39" s="23">
        <v>40</v>
      </c>
      <c r="AN39" s="23">
        <v>40</v>
      </c>
      <c r="AO39" s="23">
        <v>40</v>
      </c>
      <c r="AP39" s="23">
        <v>40</v>
      </c>
      <c r="AQ39" s="23">
        <v>40</v>
      </c>
      <c r="AR39" s="23">
        <v>40</v>
      </c>
      <c r="AS39" s="23">
        <v>40</v>
      </c>
      <c r="AT39" s="23">
        <v>40</v>
      </c>
      <c r="AU39" s="23">
        <v>40</v>
      </c>
      <c r="AV39" s="23">
        <v>40</v>
      </c>
      <c r="AW39" s="23">
        <v>40</v>
      </c>
      <c r="AX39" s="23">
        <v>40</v>
      </c>
      <c r="AY39" s="23">
        <v>40</v>
      </c>
      <c r="AZ39" s="23">
        <v>40</v>
      </c>
      <c r="BA39" s="23">
        <v>40</v>
      </c>
      <c r="BB39" s="23">
        <v>40</v>
      </c>
      <c r="BC39" s="23">
        <v>40</v>
      </c>
      <c r="BD39" s="23">
        <v>40</v>
      </c>
      <c r="BE39" s="23">
        <v>40</v>
      </c>
      <c r="BF39" s="23">
        <v>40</v>
      </c>
      <c r="BG39" s="23"/>
      <c r="BH39" s="23"/>
      <c r="BI39" s="23"/>
      <c r="BJ39" s="23"/>
      <c r="BK39" s="23"/>
    </row>
    <row r="40" spans="3:63" ht="12" customHeight="1">
      <c r="C40" s="96" t="s">
        <v>128</v>
      </c>
      <c r="D40" s="56" t="s">
        <v>129</v>
      </c>
      <c r="E40" s="56" t="s">
        <v>134</v>
      </c>
      <c r="F40" s="24" t="s">
        <v>97</v>
      </c>
      <c r="G40" s="56"/>
      <c r="H40" s="124" t="s">
        <v>135</v>
      </c>
      <c r="I40" s="57">
        <f t="shared" si="22"/>
        <v>1600</v>
      </c>
      <c r="J40" s="58">
        <f>IFERROR(VLOOKUP(D40,Rates!$A$2:$C$26,3,TRUE),"-")</f>
        <v>400</v>
      </c>
      <c r="K40" s="59">
        <f t="shared" si="18"/>
        <v>400</v>
      </c>
      <c r="L40" s="58">
        <f>IFERROR(VLOOKUP(D40,Rates!$A$2:$C$26,2,TRUE),"-")</f>
        <v>360.62809483721668</v>
      </c>
      <c r="M40" s="58" cm="1">
        <f t="array" ref="M40">IF(Table1[[#This Row],[Total Hours]]=0,"-",SUMPRODUCT(Table1[[#This Row],[WK0]:[WK45]], Table1[[#This Row],[Bill Rate]]*IF(COLUMN(Table1[[#This Row],[WK0]:[WK45]])-COLUMN(Table1[[#This Row],[WK0]])&gt;=$D$5, 1+$D$4, 1)))</f>
        <v>640000</v>
      </c>
      <c r="N40" s="58" cm="1">
        <f t="array" ref="N40">IF(Table1[[#This Row],[Total Hours]]=0,"-",SUMPRODUCT(Table1[[#This Row],[WK0]:[WK45]], Table1[[#This Row],[Cost Rate]]*IF(COLUMN(Table1[[#This Row],[WK0]:[WK45]])-COLUMN(Table1[[#This Row],[WK0]])&gt;=$D$5, 1+$D$4, 1)))</f>
        <v>577004.95173954661</v>
      </c>
      <c r="O40" s="60">
        <f t="shared" si="19"/>
        <v>9.8429762906958415E-2</v>
      </c>
      <c r="P40" s="60">
        <f t="shared" si="20"/>
        <v>0</v>
      </c>
      <c r="Q40" s="117">
        <f t="shared" si="21"/>
        <v>9.8358035544135095E-2</v>
      </c>
      <c r="R40" s="48"/>
      <c r="S40" s="23">
        <v>40</v>
      </c>
      <c r="T40" s="23">
        <v>40</v>
      </c>
      <c r="U40" s="23">
        <v>40</v>
      </c>
      <c r="V40" s="23">
        <v>40</v>
      </c>
      <c r="W40" s="23">
        <v>40</v>
      </c>
      <c r="X40" s="23">
        <v>40</v>
      </c>
      <c r="Y40" s="23">
        <v>40</v>
      </c>
      <c r="Z40" s="23">
        <v>40</v>
      </c>
      <c r="AA40" s="23">
        <v>40</v>
      </c>
      <c r="AB40" s="23">
        <v>40</v>
      </c>
      <c r="AC40" s="23">
        <v>40</v>
      </c>
      <c r="AD40" s="23">
        <v>40</v>
      </c>
      <c r="AE40" s="23">
        <v>40</v>
      </c>
      <c r="AF40" s="23">
        <v>40</v>
      </c>
      <c r="AG40" s="23">
        <v>40</v>
      </c>
      <c r="AH40" s="23">
        <v>40</v>
      </c>
      <c r="AI40" s="23">
        <v>40</v>
      </c>
      <c r="AJ40" s="23">
        <v>40</v>
      </c>
      <c r="AK40" s="23">
        <v>40</v>
      </c>
      <c r="AL40" s="23">
        <v>40</v>
      </c>
      <c r="AM40" s="23">
        <v>40</v>
      </c>
      <c r="AN40" s="23">
        <v>40</v>
      </c>
      <c r="AO40" s="23">
        <v>40</v>
      </c>
      <c r="AP40" s="23">
        <v>40</v>
      </c>
      <c r="AQ40" s="23">
        <v>40</v>
      </c>
      <c r="AR40" s="23">
        <v>40</v>
      </c>
      <c r="AS40" s="23">
        <v>40</v>
      </c>
      <c r="AT40" s="23">
        <v>40</v>
      </c>
      <c r="AU40" s="23">
        <v>40</v>
      </c>
      <c r="AV40" s="23">
        <v>40</v>
      </c>
      <c r="AW40" s="23">
        <v>40</v>
      </c>
      <c r="AX40" s="23">
        <v>40</v>
      </c>
      <c r="AY40" s="23">
        <v>40</v>
      </c>
      <c r="AZ40" s="23">
        <v>40</v>
      </c>
      <c r="BA40" s="23">
        <v>40</v>
      </c>
      <c r="BB40" s="23">
        <v>40</v>
      </c>
      <c r="BC40" s="23">
        <v>40</v>
      </c>
      <c r="BD40" s="23">
        <v>40</v>
      </c>
      <c r="BE40" s="23">
        <v>40</v>
      </c>
      <c r="BF40" s="23">
        <v>40</v>
      </c>
      <c r="BG40" s="23"/>
      <c r="BH40" s="23"/>
      <c r="BI40" s="23"/>
      <c r="BJ40" s="23"/>
      <c r="BK40" s="23"/>
    </row>
    <row r="41" spans="3:63" ht="15">
      <c r="C41" s="96" t="s">
        <v>128</v>
      </c>
      <c r="D41" s="56" t="s">
        <v>129</v>
      </c>
      <c r="E41" s="56" t="s">
        <v>136</v>
      </c>
      <c r="F41" s="24" t="s">
        <v>97</v>
      </c>
      <c r="G41" s="56"/>
      <c r="H41" s="124" t="s">
        <v>137</v>
      </c>
      <c r="I41" s="57">
        <f t="shared" si="22"/>
        <v>1600</v>
      </c>
      <c r="J41" s="58">
        <f>IFERROR(VLOOKUP(D41,Rates!$A$2:$C$26,3,TRUE),"-")</f>
        <v>400</v>
      </c>
      <c r="K41" s="59">
        <f t="shared" si="18"/>
        <v>400</v>
      </c>
      <c r="L41" s="58">
        <f>IFERROR(VLOOKUP(D41,Rates!$A$2:$C$26,2,TRUE),"-")</f>
        <v>360.62809483721668</v>
      </c>
      <c r="M41" s="58" cm="1">
        <f t="array" ref="M41">IF(Table1[[#This Row],[Total Hours]]=0,"-",SUMPRODUCT(Table1[[#This Row],[WK0]:[WK45]], Table1[[#This Row],[Bill Rate]]*IF(COLUMN(Table1[[#This Row],[WK0]:[WK45]])-COLUMN(Table1[[#This Row],[WK0]])&gt;=$D$5, 1+$D$4, 1)))</f>
        <v>640000</v>
      </c>
      <c r="N41" s="58" cm="1">
        <f t="array" ref="N41">IF(Table1[[#This Row],[Total Hours]]=0,"-",SUMPRODUCT(Table1[[#This Row],[WK0]:[WK45]], Table1[[#This Row],[Cost Rate]]*IF(COLUMN(Table1[[#This Row],[WK0]:[WK45]])-COLUMN(Table1[[#This Row],[WK0]])&gt;=$D$5, 1+$D$4, 1)))</f>
        <v>577004.95173954661</v>
      </c>
      <c r="O41" s="60">
        <f t="shared" si="19"/>
        <v>9.8429762906958415E-2</v>
      </c>
      <c r="P41" s="60">
        <f t="shared" si="20"/>
        <v>0</v>
      </c>
      <c r="Q41" s="117">
        <f t="shared" si="21"/>
        <v>9.8358035544135095E-2</v>
      </c>
      <c r="R41" s="48"/>
      <c r="S41" s="23">
        <v>40</v>
      </c>
      <c r="T41" s="23">
        <v>40</v>
      </c>
      <c r="U41" s="23">
        <v>40</v>
      </c>
      <c r="V41" s="23">
        <v>40</v>
      </c>
      <c r="W41" s="23">
        <v>40</v>
      </c>
      <c r="X41" s="23">
        <v>40</v>
      </c>
      <c r="Y41" s="23">
        <v>40</v>
      </c>
      <c r="Z41" s="23">
        <v>40</v>
      </c>
      <c r="AA41" s="23">
        <v>40</v>
      </c>
      <c r="AB41" s="23">
        <v>40</v>
      </c>
      <c r="AC41" s="23">
        <v>40</v>
      </c>
      <c r="AD41" s="23">
        <v>40</v>
      </c>
      <c r="AE41" s="23">
        <v>40</v>
      </c>
      <c r="AF41" s="23">
        <v>40</v>
      </c>
      <c r="AG41" s="23">
        <v>40</v>
      </c>
      <c r="AH41" s="23">
        <v>40</v>
      </c>
      <c r="AI41" s="23">
        <v>40</v>
      </c>
      <c r="AJ41" s="23">
        <v>40</v>
      </c>
      <c r="AK41" s="23">
        <v>40</v>
      </c>
      <c r="AL41" s="23">
        <v>40</v>
      </c>
      <c r="AM41" s="23">
        <v>40</v>
      </c>
      <c r="AN41" s="23">
        <v>40</v>
      </c>
      <c r="AO41" s="23">
        <v>40</v>
      </c>
      <c r="AP41" s="23">
        <v>40</v>
      </c>
      <c r="AQ41" s="23">
        <v>40</v>
      </c>
      <c r="AR41" s="23">
        <v>40</v>
      </c>
      <c r="AS41" s="23">
        <v>40</v>
      </c>
      <c r="AT41" s="23">
        <v>40</v>
      </c>
      <c r="AU41" s="23">
        <v>40</v>
      </c>
      <c r="AV41" s="23">
        <v>40</v>
      </c>
      <c r="AW41" s="23">
        <v>40</v>
      </c>
      <c r="AX41" s="23">
        <v>40</v>
      </c>
      <c r="AY41" s="23">
        <v>40</v>
      </c>
      <c r="AZ41" s="23">
        <v>40</v>
      </c>
      <c r="BA41" s="23">
        <v>40</v>
      </c>
      <c r="BB41" s="23">
        <v>40</v>
      </c>
      <c r="BC41" s="23">
        <v>40</v>
      </c>
      <c r="BD41" s="23">
        <v>40</v>
      </c>
      <c r="BE41" s="23">
        <v>40</v>
      </c>
      <c r="BF41" s="23">
        <v>40</v>
      </c>
      <c r="BG41" s="23"/>
      <c r="BH41" s="23"/>
      <c r="BI41" s="23"/>
      <c r="BJ41" s="23"/>
      <c r="BK41" s="23"/>
    </row>
    <row r="42" spans="3:63" ht="15">
      <c r="C42" s="96" t="s">
        <v>138</v>
      </c>
      <c r="D42" s="56" t="s">
        <v>112</v>
      </c>
      <c r="E42" s="56" t="s">
        <v>113</v>
      </c>
      <c r="F42" s="24" t="s">
        <v>139</v>
      </c>
      <c r="G42" s="56"/>
      <c r="H42" s="23" t="s">
        <v>140</v>
      </c>
      <c r="I42" s="57">
        <f t="shared" si="22"/>
        <v>800</v>
      </c>
      <c r="J42" s="58">
        <f>IFERROR(VLOOKUP(D42,Rates!$A$2:$C$26,3,TRUE),"-")</f>
        <v>365</v>
      </c>
      <c r="K42" s="59">
        <f>J42</f>
        <v>365</v>
      </c>
      <c r="L42" s="58">
        <f>IFERROR(VLOOKUP(D42,Rates!$A$2:$C$26,2,TRUE),"-")</f>
        <v>256.15021150776352</v>
      </c>
      <c r="M42" s="58" cm="1">
        <f t="array" ref="M42">IF(Table1[[#This Row],[Total Hours]]=0,"-",SUMPRODUCT(Table1[[#This Row],[WK0]:[WK45]], Table1[[#This Row],[Bill Rate]]*IF(COLUMN(Table1[[#This Row],[WK0]:[WK45]])-COLUMN(Table1[[#This Row],[WK0]])&gt;=$D$5, 1+$D$4, 1)))</f>
        <v>292000</v>
      </c>
      <c r="N42" s="58" cm="1">
        <f t="array" ref="N42">IF(Table1[[#This Row],[Total Hours]]=0,"-",SUMPRODUCT(Table1[[#This Row],[WK0]:[WK45]], Table1[[#This Row],[Cost Rate]]*IF(COLUMN(Table1[[#This Row],[WK0]:[WK45]])-COLUMN(Table1[[#This Row],[WK0]])&gt;=$D$5, 1+$D$4, 1)))</f>
        <v>204920.1692062107</v>
      </c>
      <c r="O42" s="60">
        <f>IFERROR((M42-N42)/M42,"-")</f>
        <v>0.29821859860886746</v>
      </c>
      <c r="P42" s="60">
        <f>IFERROR((J42-K42)/J42,0)</f>
        <v>0</v>
      </c>
      <c r="Q42" s="117">
        <f>IFERROR(M42/$B$7,0)</f>
        <v>4.4875853717011638E-2</v>
      </c>
      <c r="R42" s="48"/>
      <c r="S42" s="23">
        <v>20</v>
      </c>
      <c r="T42" s="23">
        <v>20</v>
      </c>
      <c r="U42" s="23">
        <v>20</v>
      </c>
      <c r="V42" s="23">
        <v>20</v>
      </c>
      <c r="W42" s="23">
        <v>20</v>
      </c>
      <c r="X42" s="23">
        <v>20</v>
      </c>
      <c r="Y42" s="23">
        <v>20</v>
      </c>
      <c r="Z42" s="23">
        <v>20</v>
      </c>
      <c r="AA42" s="23">
        <v>20</v>
      </c>
      <c r="AB42" s="23">
        <v>20</v>
      </c>
      <c r="AC42" s="23">
        <v>20</v>
      </c>
      <c r="AD42" s="23">
        <v>20</v>
      </c>
      <c r="AE42" s="23">
        <v>20</v>
      </c>
      <c r="AF42" s="23">
        <v>20</v>
      </c>
      <c r="AG42" s="23">
        <v>20</v>
      </c>
      <c r="AH42" s="23">
        <v>20</v>
      </c>
      <c r="AI42" s="23">
        <v>20</v>
      </c>
      <c r="AJ42" s="23">
        <v>20</v>
      </c>
      <c r="AK42" s="23">
        <v>20</v>
      </c>
      <c r="AL42" s="23">
        <v>20</v>
      </c>
      <c r="AM42" s="23">
        <v>20</v>
      </c>
      <c r="AN42" s="23">
        <v>20</v>
      </c>
      <c r="AO42" s="23">
        <v>20</v>
      </c>
      <c r="AP42" s="23">
        <v>20</v>
      </c>
      <c r="AQ42" s="23">
        <v>20</v>
      </c>
      <c r="AR42" s="23">
        <v>20</v>
      </c>
      <c r="AS42" s="23">
        <v>20</v>
      </c>
      <c r="AT42" s="23">
        <v>20</v>
      </c>
      <c r="AU42" s="23">
        <v>20</v>
      </c>
      <c r="AV42" s="23">
        <v>20</v>
      </c>
      <c r="AW42" s="23">
        <v>20</v>
      </c>
      <c r="AX42" s="23">
        <v>20</v>
      </c>
      <c r="AY42" s="23">
        <v>20</v>
      </c>
      <c r="AZ42" s="23">
        <v>20</v>
      </c>
      <c r="BA42" s="23">
        <v>20</v>
      </c>
      <c r="BB42" s="23">
        <v>20</v>
      </c>
      <c r="BC42" s="23">
        <v>20</v>
      </c>
      <c r="BD42" s="23">
        <v>20</v>
      </c>
      <c r="BE42" s="23">
        <v>20</v>
      </c>
      <c r="BF42" s="23">
        <v>20</v>
      </c>
      <c r="BG42" s="23"/>
      <c r="BH42" s="23"/>
      <c r="BI42" s="23"/>
      <c r="BJ42" s="23"/>
      <c r="BK42" s="23"/>
    </row>
    <row r="43" spans="3:63" ht="15">
      <c r="C43" s="96" t="s">
        <v>138</v>
      </c>
      <c r="D43" s="56" t="s">
        <v>112</v>
      </c>
      <c r="E43" s="56" t="s">
        <v>120</v>
      </c>
      <c r="F43" s="24" t="s">
        <v>139</v>
      </c>
      <c r="G43" s="56"/>
      <c r="H43" s="23" t="s">
        <v>141</v>
      </c>
      <c r="I43" s="57">
        <f t="shared" si="22"/>
        <v>800</v>
      </c>
      <c r="J43" s="58">
        <f>IFERROR(VLOOKUP(D43,Rates!$A$2:$C$26,3,TRUE),"-")</f>
        <v>365</v>
      </c>
      <c r="K43" s="59">
        <f>J43</f>
        <v>365</v>
      </c>
      <c r="L43" s="58">
        <f>IFERROR(VLOOKUP(D43,Rates!$A$2:$C$26,2,TRUE),"-")</f>
        <v>256.15021150776352</v>
      </c>
      <c r="M43" s="58" cm="1">
        <f t="array" ref="M43">IF(Table1[[#This Row],[Total Hours]]=0,"-",SUMPRODUCT(Table1[[#This Row],[WK0]:[WK45]], Table1[[#This Row],[Bill Rate]]*IF(COLUMN(Table1[[#This Row],[WK0]:[WK45]])-COLUMN(Table1[[#This Row],[WK0]])&gt;=$D$5, 1+$D$4, 1)))</f>
        <v>292000</v>
      </c>
      <c r="N43" s="58" cm="1">
        <f t="array" ref="N43">IF(Table1[[#This Row],[Total Hours]]=0,"-",SUMPRODUCT(Table1[[#This Row],[WK0]:[WK45]], Table1[[#This Row],[Cost Rate]]*IF(COLUMN(Table1[[#This Row],[WK0]:[WK45]])-COLUMN(Table1[[#This Row],[WK0]])&gt;=$D$5, 1+$D$4, 1)))</f>
        <v>204920.1692062107</v>
      </c>
      <c r="O43" s="60">
        <f>IFERROR((M43-N43)/M43,"-")</f>
        <v>0.29821859860886746</v>
      </c>
      <c r="P43" s="60">
        <f>IFERROR((J43-K43)/J43,0)</f>
        <v>0</v>
      </c>
      <c r="Q43" s="117">
        <f>IFERROR(M43/$B$7,0)</f>
        <v>4.4875853717011638E-2</v>
      </c>
      <c r="R43" s="48"/>
      <c r="S43" s="23">
        <v>20</v>
      </c>
      <c r="T43" s="23">
        <v>20</v>
      </c>
      <c r="U43" s="23">
        <v>20</v>
      </c>
      <c r="V43" s="23">
        <v>20</v>
      </c>
      <c r="W43" s="23">
        <v>20</v>
      </c>
      <c r="X43" s="23">
        <v>20</v>
      </c>
      <c r="Y43" s="23">
        <v>20</v>
      </c>
      <c r="Z43" s="23">
        <v>20</v>
      </c>
      <c r="AA43" s="23">
        <v>20</v>
      </c>
      <c r="AB43" s="23">
        <v>20</v>
      </c>
      <c r="AC43" s="23">
        <v>20</v>
      </c>
      <c r="AD43" s="23">
        <v>20</v>
      </c>
      <c r="AE43" s="23">
        <v>20</v>
      </c>
      <c r="AF43" s="23">
        <v>20</v>
      </c>
      <c r="AG43" s="23">
        <v>20</v>
      </c>
      <c r="AH43" s="23">
        <v>20</v>
      </c>
      <c r="AI43" s="23">
        <v>20</v>
      </c>
      <c r="AJ43" s="23">
        <v>20</v>
      </c>
      <c r="AK43" s="23">
        <v>20</v>
      </c>
      <c r="AL43" s="23">
        <v>20</v>
      </c>
      <c r="AM43" s="23">
        <v>20</v>
      </c>
      <c r="AN43" s="23">
        <v>20</v>
      </c>
      <c r="AO43" s="23">
        <v>20</v>
      </c>
      <c r="AP43" s="23">
        <v>20</v>
      </c>
      <c r="AQ43" s="23">
        <v>20</v>
      </c>
      <c r="AR43" s="23">
        <v>20</v>
      </c>
      <c r="AS43" s="23">
        <v>20</v>
      </c>
      <c r="AT43" s="23">
        <v>20</v>
      </c>
      <c r="AU43" s="23">
        <v>20</v>
      </c>
      <c r="AV43" s="23">
        <v>20</v>
      </c>
      <c r="AW43" s="23">
        <v>20</v>
      </c>
      <c r="AX43" s="23">
        <v>20</v>
      </c>
      <c r="AY43" s="23">
        <v>20</v>
      </c>
      <c r="AZ43" s="23">
        <v>20</v>
      </c>
      <c r="BA43" s="23">
        <v>20</v>
      </c>
      <c r="BB43" s="23">
        <v>20</v>
      </c>
      <c r="BC43" s="23">
        <v>20</v>
      </c>
      <c r="BD43" s="23">
        <v>20</v>
      </c>
      <c r="BE43" s="23">
        <v>20</v>
      </c>
      <c r="BF43" s="23">
        <v>20</v>
      </c>
      <c r="BG43" s="23"/>
      <c r="BH43" s="23"/>
      <c r="BI43" s="23"/>
      <c r="BJ43" s="23"/>
      <c r="BK43" s="23"/>
    </row>
    <row r="44" spans="3:63" ht="15">
      <c r="C44" s="96" t="s">
        <v>142</v>
      </c>
      <c r="D44" s="56" t="s">
        <v>102</v>
      </c>
      <c r="E44" s="56" t="s">
        <v>143</v>
      </c>
      <c r="F44" s="24" t="s">
        <v>139</v>
      </c>
      <c r="G44" s="56"/>
      <c r="H44" s="23" t="s">
        <v>144</v>
      </c>
      <c r="I44" s="57">
        <f t="shared" si="22"/>
        <v>1600</v>
      </c>
      <c r="J44" s="58">
        <f>IFERROR(VLOOKUP(D44,Rates!$A$2:$C$26,3,TRUE),"-")</f>
        <v>90</v>
      </c>
      <c r="K44" s="59">
        <f t="shared" ref="K44:K45" si="23">J44</f>
        <v>90</v>
      </c>
      <c r="L44" s="58">
        <f>IFERROR(VLOOKUP(D44,Rates!$A$2:$C$26,2,TRUE),"-")</f>
        <v>53.886669260251011</v>
      </c>
      <c r="M44" s="58" cm="1">
        <f t="array" ref="M44">IF(Table1[[#This Row],[Total Hours]]=0,"-",SUMPRODUCT(Table1[[#This Row],[WK0]:[WK45]], Table1[[#This Row],[Bill Rate]]*IF(COLUMN(Table1[[#This Row],[WK0]:[WK45]])-COLUMN(Table1[[#This Row],[WK0]])&gt;=$D$5, 1+$D$4, 1)))</f>
        <v>144000</v>
      </c>
      <c r="N44" s="58" cm="1">
        <f t="array" ref="N44">IF(Table1[[#This Row],[Total Hours]]=0,"-",SUMPRODUCT(Table1[[#This Row],[WK0]:[WK45]], Table1[[#This Row],[Cost Rate]]*IF(COLUMN(Table1[[#This Row],[WK0]:[WK45]])-COLUMN(Table1[[#This Row],[WK0]])&gt;=$D$5, 1+$D$4, 1)))</f>
        <v>86218.67081640166</v>
      </c>
      <c r="O44" s="60">
        <f t="shared" ref="O44:O45" si="24">IFERROR((M44-N44)/M44,"-")</f>
        <v>0.40125923044165512</v>
      </c>
      <c r="P44" s="60">
        <f t="shared" ref="P44:P45" si="25">IFERROR((J44-K44)/J44,0)</f>
        <v>0</v>
      </c>
      <c r="Q44" s="117">
        <f t="shared" ref="Q44:Q45" si="26">IFERROR(M44/$B$7,0)</f>
        <v>2.2130557997430397E-2</v>
      </c>
      <c r="R44" s="48"/>
      <c r="S44" s="23">
        <v>40</v>
      </c>
      <c r="T44" s="23">
        <v>40</v>
      </c>
      <c r="U44" s="23">
        <v>40</v>
      </c>
      <c r="V44" s="23">
        <v>40</v>
      </c>
      <c r="W44" s="23">
        <v>40</v>
      </c>
      <c r="X44" s="23">
        <v>40</v>
      </c>
      <c r="Y44" s="23">
        <v>40</v>
      </c>
      <c r="Z44" s="23">
        <v>40</v>
      </c>
      <c r="AA44" s="23">
        <v>40</v>
      </c>
      <c r="AB44" s="23">
        <v>40</v>
      </c>
      <c r="AC44" s="23">
        <v>40</v>
      </c>
      <c r="AD44" s="23">
        <v>40</v>
      </c>
      <c r="AE44" s="23">
        <v>40</v>
      </c>
      <c r="AF44" s="23">
        <v>40</v>
      </c>
      <c r="AG44" s="23">
        <v>40</v>
      </c>
      <c r="AH44" s="23">
        <v>40</v>
      </c>
      <c r="AI44" s="23">
        <v>40</v>
      </c>
      <c r="AJ44" s="23">
        <v>40</v>
      </c>
      <c r="AK44" s="23">
        <v>40</v>
      </c>
      <c r="AL44" s="23">
        <v>40</v>
      </c>
      <c r="AM44" s="23">
        <v>40</v>
      </c>
      <c r="AN44" s="23">
        <v>40</v>
      </c>
      <c r="AO44" s="23">
        <v>40</v>
      </c>
      <c r="AP44" s="23">
        <v>40</v>
      </c>
      <c r="AQ44" s="23">
        <v>40</v>
      </c>
      <c r="AR44" s="23">
        <v>40</v>
      </c>
      <c r="AS44" s="23">
        <v>40</v>
      </c>
      <c r="AT44" s="23">
        <v>40</v>
      </c>
      <c r="AU44" s="23">
        <v>40</v>
      </c>
      <c r="AV44" s="23">
        <v>40</v>
      </c>
      <c r="AW44" s="23">
        <v>40</v>
      </c>
      <c r="AX44" s="23">
        <v>40</v>
      </c>
      <c r="AY44" s="23">
        <v>40</v>
      </c>
      <c r="AZ44" s="23">
        <v>40</v>
      </c>
      <c r="BA44" s="23">
        <v>40</v>
      </c>
      <c r="BB44" s="23">
        <v>40</v>
      </c>
      <c r="BC44" s="23">
        <v>40</v>
      </c>
      <c r="BD44" s="23">
        <v>40</v>
      </c>
      <c r="BE44" s="23">
        <v>40</v>
      </c>
      <c r="BF44" s="23">
        <v>40</v>
      </c>
      <c r="BG44" s="23"/>
      <c r="BH44" s="23"/>
      <c r="BI44" s="23"/>
      <c r="BJ44" s="23"/>
      <c r="BK44" s="23"/>
    </row>
    <row r="45" spans="3:63" ht="15">
      <c r="C45" s="96" t="s">
        <v>142</v>
      </c>
      <c r="D45" s="56" t="s">
        <v>102</v>
      </c>
      <c r="E45" s="56" t="s">
        <v>145</v>
      </c>
      <c r="F45" s="24" t="s">
        <v>139</v>
      </c>
      <c r="G45" s="56"/>
      <c r="H45" s="23" t="s">
        <v>144</v>
      </c>
      <c r="I45" s="57">
        <f t="shared" si="22"/>
        <v>1600</v>
      </c>
      <c r="J45" s="58">
        <f>IFERROR(VLOOKUP(D45,Rates!$A$2:$C$26,3,TRUE),"-")</f>
        <v>90</v>
      </c>
      <c r="K45" s="59">
        <f t="shared" si="23"/>
        <v>90</v>
      </c>
      <c r="L45" s="58">
        <f>IFERROR(VLOOKUP(D45,Rates!$A$2:$C$26,2,TRUE),"-")</f>
        <v>53.886669260251011</v>
      </c>
      <c r="M45" s="58" cm="1">
        <f t="array" ref="M45">IF(Table1[[#This Row],[Total Hours]]=0,"-",SUMPRODUCT(Table1[[#This Row],[WK0]:[WK45]], Table1[[#This Row],[Bill Rate]]*IF(COLUMN(Table1[[#This Row],[WK0]:[WK45]])-COLUMN(Table1[[#This Row],[WK0]])&gt;=$D$5, 1+$D$4, 1)))</f>
        <v>144000</v>
      </c>
      <c r="N45" s="58" cm="1">
        <f t="array" ref="N45">IF(Table1[[#This Row],[Total Hours]]=0,"-",SUMPRODUCT(Table1[[#This Row],[WK0]:[WK45]], Table1[[#This Row],[Cost Rate]]*IF(COLUMN(Table1[[#This Row],[WK0]:[WK45]])-COLUMN(Table1[[#This Row],[WK0]])&gt;=$D$5, 1+$D$4, 1)))</f>
        <v>86218.67081640166</v>
      </c>
      <c r="O45" s="60">
        <f t="shared" si="24"/>
        <v>0.40125923044165512</v>
      </c>
      <c r="P45" s="60">
        <f t="shared" si="25"/>
        <v>0</v>
      </c>
      <c r="Q45" s="117">
        <f t="shared" si="26"/>
        <v>2.2130557997430397E-2</v>
      </c>
      <c r="R45" s="48"/>
      <c r="S45" s="23">
        <v>40</v>
      </c>
      <c r="T45" s="23">
        <v>40</v>
      </c>
      <c r="U45" s="23">
        <v>40</v>
      </c>
      <c r="V45" s="23">
        <v>40</v>
      </c>
      <c r="W45" s="23">
        <v>40</v>
      </c>
      <c r="X45" s="23">
        <v>40</v>
      </c>
      <c r="Y45" s="23">
        <v>40</v>
      </c>
      <c r="Z45" s="23">
        <v>40</v>
      </c>
      <c r="AA45" s="23">
        <v>40</v>
      </c>
      <c r="AB45" s="23">
        <v>40</v>
      </c>
      <c r="AC45" s="23">
        <v>40</v>
      </c>
      <c r="AD45" s="23">
        <v>40</v>
      </c>
      <c r="AE45" s="23">
        <v>40</v>
      </c>
      <c r="AF45" s="23">
        <v>40</v>
      </c>
      <c r="AG45" s="23">
        <v>40</v>
      </c>
      <c r="AH45" s="23">
        <v>40</v>
      </c>
      <c r="AI45" s="23">
        <v>40</v>
      </c>
      <c r="AJ45" s="23">
        <v>40</v>
      </c>
      <c r="AK45" s="23">
        <v>40</v>
      </c>
      <c r="AL45" s="23">
        <v>40</v>
      </c>
      <c r="AM45" s="23">
        <v>40</v>
      </c>
      <c r="AN45" s="23">
        <v>40</v>
      </c>
      <c r="AO45" s="23">
        <v>40</v>
      </c>
      <c r="AP45" s="23">
        <v>40</v>
      </c>
      <c r="AQ45" s="23">
        <v>40</v>
      </c>
      <c r="AR45" s="23">
        <v>40</v>
      </c>
      <c r="AS45" s="23">
        <v>40</v>
      </c>
      <c r="AT45" s="23">
        <v>40</v>
      </c>
      <c r="AU45" s="23">
        <v>40</v>
      </c>
      <c r="AV45" s="23">
        <v>40</v>
      </c>
      <c r="AW45" s="23">
        <v>40</v>
      </c>
      <c r="AX45" s="23">
        <v>40</v>
      </c>
      <c r="AY45" s="23">
        <v>40</v>
      </c>
      <c r="AZ45" s="23">
        <v>40</v>
      </c>
      <c r="BA45" s="23">
        <v>40</v>
      </c>
      <c r="BB45" s="23">
        <v>40</v>
      </c>
      <c r="BC45" s="23">
        <v>40</v>
      </c>
      <c r="BD45" s="23">
        <v>40</v>
      </c>
      <c r="BE45" s="23">
        <v>40</v>
      </c>
      <c r="BF45" s="23">
        <v>40</v>
      </c>
      <c r="BG45" s="23"/>
      <c r="BH45" s="23"/>
      <c r="BI45" s="23"/>
      <c r="BJ45" s="23"/>
      <c r="BK45" s="23"/>
    </row>
    <row r="46" spans="3:63" ht="15">
      <c r="C46" s="96" t="s">
        <v>146</v>
      </c>
      <c r="D46" s="56" t="s">
        <v>102</v>
      </c>
      <c r="E46" s="56" t="s">
        <v>147</v>
      </c>
      <c r="F46" s="24" t="s">
        <v>139</v>
      </c>
      <c r="G46" s="56"/>
      <c r="H46" s="23" t="s">
        <v>146</v>
      </c>
      <c r="I46" s="57">
        <f t="shared" si="22"/>
        <v>1440</v>
      </c>
      <c r="J46" s="58">
        <f>IFERROR(VLOOKUP(D46,Rates!$A$2:$C$26,3,TRUE),"-")</f>
        <v>90</v>
      </c>
      <c r="K46" s="59">
        <f>J46</f>
        <v>90</v>
      </c>
      <c r="L46" s="58">
        <f>IFERROR(VLOOKUP(D46,Rates!$A$2:$C$26,2,TRUE),"-")</f>
        <v>53.886669260251011</v>
      </c>
      <c r="M46" s="58" cm="1">
        <f t="array" ref="M46">IF(Table1[[#This Row],[Total Hours]]=0,"-",SUMPRODUCT(Table1[[#This Row],[WK0]:[WK45]], Table1[[#This Row],[Bill Rate]]*IF(COLUMN(Table1[[#This Row],[WK0]:[WK45]])-COLUMN(Table1[[#This Row],[WK0]])&gt;=$D$5, 1+$D$4, 1)))</f>
        <v>129600</v>
      </c>
      <c r="N46" s="58" cm="1">
        <f t="array" ref="N46">IF(Table1[[#This Row],[Total Hours]]=0,"-",SUMPRODUCT(Table1[[#This Row],[WK0]:[WK45]], Table1[[#This Row],[Cost Rate]]*IF(COLUMN(Table1[[#This Row],[WK0]:[WK45]])-COLUMN(Table1[[#This Row],[WK0]])&gt;=$D$5, 1+$D$4, 1)))</f>
        <v>77596.803734761488</v>
      </c>
      <c r="O46" s="60">
        <f>IFERROR((M46-N46)/M46,"-")</f>
        <v>0.40125923044165518</v>
      </c>
      <c r="P46" s="60">
        <f>IFERROR((J46-K46)/J46,0)</f>
        <v>0</v>
      </c>
      <c r="Q46" s="117">
        <f>IFERROR(M46/$B$7,0)</f>
        <v>1.9917502197687356E-2</v>
      </c>
      <c r="R46" s="48"/>
      <c r="S46" s="23"/>
      <c r="T46" s="23"/>
      <c r="U46" s="23"/>
      <c r="V46" s="23"/>
      <c r="W46" s="23">
        <v>40</v>
      </c>
      <c r="X46" s="23">
        <v>40</v>
      </c>
      <c r="Y46" s="23">
        <v>40</v>
      </c>
      <c r="Z46" s="23">
        <v>40</v>
      </c>
      <c r="AA46" s="23">
        <v>40</v>
      </c>
      <c r="AB46" s="23">
        <v>40</v>
      </c>
      <c r="AC46" s="23">
        <v>40</v>
      </c>
      <c r="AD46" s="23">
        <v>40</v>
      </c>
      <c r="AE46" s="23">
        <v>40</v>
      </c>
      <c r="AF46" s="23">
        <v>40</v>
      </c>
      <c r="AG46" s="23">
        <v>40</v>
      </c>
      <c r="AH46" s="23">
        <v>40</v>
      </c>
      <c r="AI46" s="23">
        <v>40</v>
      </c>
      <c r="AJ46" s="23">
        <v>40</v>
      </c>
      <c r="AK46" s="23">
        <v>40</v>
      </c>
      <c r="AL46" s="23">
        <v>40</v>
      </c>
      <c r="AM46" s="23">
        <v>40</v>
      </c>
      <c r="AN46" s="23">
        <v>40</v>
      </c>
      <c r="AO46" s="23">
        <v>40</v>
      </c>
      <c r="AP46" s="23">
        <v>40</v>
      </c>
      <c r="AQ46" s="23">
        <v>40</v>
      </c>
      <c r="AR46" s="23">
        <v>40</v>
      </c>
      <c r="AS46" s="23">
        <v>40</v>
      </c>
      <c r="AT46" s="23">
        <v>40</v>
      </c>
      <c r="AU46" s="23">
        <v>40</v>
      </c>
      <c r="AV46" s="23">
        <v>40</v>
      </c>
      <c r="AW46" s="23">
        <v>40</v>
      </c>
      <c r="AX46" s="23">
        <v>40</v>
      </c>
      <c r="AY46" s="23">
        <v>40</v>
      </c>
      <c r="AZ46" s="23">
        <v>40</v>
      </c>
      <c r="BA46" s="23">
        <v>40</v>
      </c>
      <c r="BB46" s="23">
        <v>40</v>
      </c>
      <c r="BC46" s="23">
        <v>40</v>
      </c>
      <c r="BD46" s="23">
        <v>40</v>
      </c>
      <c r="BE46" s="23">
        <v>40</v>
      </c>
      <c r="BF46" s="23">
        <v>40</v>
      </c>
      <c r="BG46" s="23"/>
      <c r="BH46" s="23"/>
      <c r="BI46" s="23"/>
      <c r="BJ46" s="23"/>
      <c r="BK46" s="23"/>
    </row>
    <row r="47" spans="3:63" ht="15">
      <c r="C47" s="96" t="s">
        <v>146</v>
      </c>
      <c r="D47" s="56" t="s">
        <v>102</v>
      </c>
      <c r="E47" s="56" t="s">
        <v>148</v>
      </c>
      <c r="F47" s="24" t="s">
        <v>139</v>
      </c>
      <c r="G47" s="56"/>
      <c r="H47" s="23" t="s">
        <v>146</v>
      </c>
      <c r="I47" s="57">
        <f t="shared" si="22"/>
        <v>1440</v>
      </c>
      <c r="J47" s="58">
        <f>IFERROR(VLOOKUP(D47,Rates!$A$2:$C$26,3,TRUE),"-")</f>
        <v>90</v>
      </c>
      <c r="K47" s="59">
        <f>J47</f>
        <v>90</v>
      </c>
      <c r="L47" s="58">
        <f>IFERROR(VLOOKUP(D47,Rates!$A$2:$C$26,2,TRUE),"-")</f>
        <v>53.886669260251011</v>
      </c>
      <c r="M47" s="58" cm="1">
        <f t="array" ref="M47">IF(Table1[[#This Row],[Total Hours]]=0,"-",SUMPRODUCT(Table1[[#This Row],[WK0]:[WK45]], Table1[[#This Row],[Bill Rate]]*IF(COLUMN(Table1[[#This Row],[WK0]:[WK45]])-COLUMN(Table1[[#This Row],[WK0]])&gt;=$D$5, 1+$D$4, 1)))</f>
        <v>129600</v>
      </c>
      <c r="N47" s="58" cm="1">
        <f t="array" ref="N47">IF(Table1[[#This Row],[Total Hours]]=0,"-",SUMPRODUCT(Table1[[#This Row],[WK0]:[WK45]], Table1[[#This Row],[Cost Rate]]*IF(COLUMN(Table1[[#This Row],[WK0]:[WK45]])-COLUMN(Table1[[#This Row],[WK0]])&gt;=$D$5, 1+$D$4, 1)))</f>
        <v>77596.803734761488</v>
      </c>
      <c r="O47" s="60">
        <f>IFERROR((M47-N47)/M47,"-")</f>
        <v>0.40125923044165518</v>
      </c>
      <c r="P47" s="60">
        <f>IFERROR((J47-K47)/J47,0)</f>
        <v>0</v>
      </c>
      <c r="Q47" s="117">
        <f>IFERROR(M47/$B$7,0)</f>
        <v>1.9917502197687356E-2</v>
      </c>
      <c r="R47" s="48"/>
      <c r="S47" s="23"/>
      <c r="T47" s="23"/>
      <c r="U47" s="23"/>
      <c r="V47" s="23"/>
      <c r="W47" s="23">
        <v>40</v>
      </c>
      <c r="X47" s="23">
        <v>40</v>
      </c>
      <c r="Y47" s="23">
        <v>40</v>
      </c>
      <c r="Z47" s="23">
        <v>40</v>
      </c>
      <c r="AA47" s="23">
        <v>40</v>
      </c>
      <c r="AB47" s="23">
        <v>40</v>
      </c>
      <c r="AC47" s="23">
        <v>40</v>
      </c>
      <c r="AD47" s="23">
        <v>40</v>
      </c>
      <c r="AE47" s="23">
        <v>40</v>
      </c>
      <c r="AF47" s="23">
        <v>40</v>
      </c>
      <c r="AG47" s="23">
        <v>40</v>
      </c>
      <c r="AH47" s="23">
        <v>40</v>
      </c>
      <c r="AI47" s="23">
        <v>40</v>
      </c>
      <c r="AJ47" s="23">
        <v>40</v>
      </c>
      <c r="AK47" s="23">
        <v>40</v>
      </c>
      <c r="AL47" s="23">
        <v>40</v>
      </c>
      <c r="AM47" s="23">
        <v>40</v>
      </c>
      <c r="AN47" s="23">
        <v>40</v>
      </c>
      <c r="AO47" s="23">
        <v>40</v>
      </c>
      <c r="AP47" s="23">
        <v>40</v>
      </c>
      <c r="AQ47" s="23">
        <v>40</v>
      </c>
      <c r="AR47" s="23">
        <v>40</v>
      </c>
      <c r="AS47" s="23">
        <v>40</v>
      </c>
      <c r="AT47" s="23">
        <v>40</v>
      </c>
      <c r="AU47" s="23">
        <v>40</v>
      </c>
      <c r="AV47" s="23">
        <v>40</v>
      </c>
      <c r="AW47" s="23">
        <v>40</v>
      </c>
      <c r="AX47" s="23">
        <v>40</v>
      </c>
      <c r="AY47" s="23">
        <v>40</v>
      </c>
      <c r="AZ47" s="23">
        <v>40</v>
      </c>
      <c r="BA47" s="23">
        <v>40</v>
      </c>
      <c r="BB47" s="23">
        <v>40</v>
      </c>
      <c r="BC47" s="23">
        <v>40</v>
      </c>
      <c r="BD47" s="23">
        <v>40</v>
      </c>
      <c r="BE47" s="23">
        <v>40</v>
      </c>
      <c r="BF47" s="23">
        <v>40</v>
      </c>
      <c r="BG47" s="23"/>
      <c r="BH47" s="23"/>
      <c r="BI47" s="23"/>
      <c r="BJ47" s="23"/>
      <c r="BK47" s="23"/>
    </row>
    <row r="48" spans="3:63" ht="15">
      <c r="C48" s="96" t="s">
        <v>149</v>
      </c>
      <c r="D48" s="56" t="s">
        <v>150</v>
      </c>
      <c r="E48" s="56"/>
      <c r="F48" s="24" t="s">
        <v>97</v>
      </c>
      <c r="G48" s="56"/>
      <c r="H48" s="23" t="s">
        <v>151</v>
      </c>
      <c r="I48" s="57">
        <f t="shared" si="22"/>
        <v>160</v>
      </c>
      <c r="J48" s="58">
        <f>IFERROR(VLOOKUP(D48,Rates!$A$2:$C$26,3,TRUE),"-")</f>
        <v>445</v>
      </c>
      <c r="K48" s="59">
        <f>J48</f>
        <v>445</v>
      </c>
      <c r="L48" s="58">
        <f>IFERROR(VLOOKUP(D48,Rates!$A$2:$C$26,2,TRUE),"-")</f>
        <v>404.15451989298754</v>
      </c>
      <c r="M48" s="58" cm="1">
        <f t="array" ref="M48">IF(Table1[[#This Row],[Total Hours]]=0,"-",SUMPRODUCT(Table1[[#This Row],[WK0]:[WK45]], Table1[[#This Row],[Bill Rate]]*IF(COLUMN(Table1[[#This Row],[WK0]:[WK45]])-COLUMN(Table1[[#This Row],[WK0]])&gt;=$D$5, 1+$D$4, 1)))</f>
        <v>71200</v>
      </c>
      <c r="N48" s="58" cm="1">
        <f t="array" ref="N48">IF(Table1[[#This Row],[Total Hours]]=0,"-",SUMPRODUCT(Table1[[#This Row],[WK0]:[WK45]], Table1[[#This Row],[Cost Rate]]*IF(COLUMN(Table1[[#This Row],[WK0]:[WK45]])-COLUMN(Table1[[#This Row],[WK0]])&gt;=$D$5, 1+$D$4, 1)))</f>
        <v>64664.723182877955</v>
      </c>
      <c r="O48" s="60">
        <f>IFERROR((M48-N48)/M48,"-")</f>
        <v>9.1787595746096143E-2</v>
      </c>
      <c r="P48" s="60">
        <f>IFERROR((J48-K48)/J48,0)</f>
        <v>0</v>
      </c>
      <c r="Q48" s="117">
        <f>IFERROR(M48/$B$7,0)</f>
        <v>1.0942331454285029E-2</v>
      </c>
      <c r="R48" s="48"/>
      <c r="S48" s="23">
        <v>4</v>
      </c>
      <c r="T48" s="23">
        <v>4</v>
      </c>
      <c r="U48" s="23">
        <v>4</v>
      </c>
      <c r="V48" s="23">
        <v>4</v>
      </c>
      <c r="W48" s="23">
        <v>4</v>
      </c>
      <c r="X48" s="23">
        <v>4</v>
      </c>
      <c r="Y48" s="23">
        <v>4</v>
      </c>
      <c r="Z48" s="23">
        <v>4</v>
      </c>
      <c r="AA48" s="23">
        <v>4</v>
      </c>
      <c r="AB48" s="23">
        <v>4</v>
      </c>
      <c r="AC48" s="23">
        <v>4</v>
      </c>
      <c r="AD48" s="23">
        <v>4</v>
      </c>
      <c r="AE48" s="23">
        <v>4</v>
      </c>
      <c r="AF48" s="23">
        <v>4</v>
      </c>
      <c r="AG48" s="23">
        <v>4</v>
      </c>
      <c r="AH48" s="23">
        <v>4</v>
      </c>
      <c r="AI48" s="23">
        <v>4</v>
      </c>
      <c r="AJ48" s="23">
        <v>4</v>
      </c>
      <c r="AK48" s="23">
        <v>4</v>
      </c>
      <c r="AL48" s="23">
        <v>4</v>
      </c>
      <c r="AM48" s="23">
        <v>4</v>
      </c>
      <c r="AN48" s="23">
        <v>4</v>
      </c>
      <c r="AO48" s="23">
        <v>4</v>
      </c>
      <c r="AP48" s="23">
        <v>4</v>
      </c>
      <c r="AQ48" s="23">
        <v>4</v>
      </c>
      <c r="AR48" s="23">
        <v>4</v>
      </c>
      <c r="AS48" s="23">
        <v>4</v>
      </c>
      <c r="AT48" s="23">
        <v>4</v>
      </c>
      <c r="AU48" s="23">
        <v>4</v>
      </c>
      <c r="AV48" s="23">
        <v>4</v>
      </c>
      <c r="AW48" s="23">
        <v>4</v>
      </c>
      <c r="AX48" s="23">
        <v>4</v>
      </c>
      <c r="AY48" s="23">
        <v>4</v>
      </c>
      <c r="AZ48" s="23">
        <v>4</v>
      </c>
      <c r="BA48" s="23">
        <v>4</v>
      </c>
      <c r="BB48" s="23">
        <v>4</v>
      </c>
      <c r="BC48" s="23">
        <v>4</v>
      </c>
      <c r="BD48" s="23">
        <v>4</v>
      </c>
      <c r="BE48" s="23">
        <v>4</v>
      </c>
      <c r="BF48" s="23">
        <v>4</v>
      </c>
      <c r="BG48" s="23"/>
      <c r="BH48" s="23"/>
      <c r="BI48" s="23"/>
      <c r="BJ48" s="23"/>
      <c r="BK48" s="23"/>
    </row>
    <row r="49" spans="3:63" ht="15">
      <c r="C49" s="96"/>
      <c r="D49" s="56"/>
      <c r="E49" s="56"/>
      <c r="F49" s="24"/>
      <c r="G49" s="56"/>
      <c r="H49" s="23"/>
      <c r="I49" s="57">
        <f t="shared" si="22"/>
        <v>0</v>
      </c>
      <c r="J49" s="58" t="str">
        <f>IFERROR(VLOOKUP(D49,Rates!$A$2:$C$26,3,TRUE),"-")</f>
        <v>-</v>
      </c>
      <c r="K49" s="59" t="str">
        <f t="shared" si="18"/>
        <v>-</v>
      </c>
      <c r="L49" s="58" t="str">
        <f>IFERROR(VLOOKUP(D49,Rates!$A$2:$C$26,2,TRUE),"-")</f>
        <v>-</v>
      </c>
      <c r="M49" s="58" t="str" cm="1">
        <f t="array" ref="M49">IF(Table1[[#This Row],[Total Hours]]=0,"-",SUMPRODUCT(Table1[[#This Row],[WK0]:[WK45]], Table1[[#This Row],[Bill Rate]]*IF(COLUMN(Table1[[#This Row],[WK0]:[WK45]])-COLUMN(Table1[[#This Row],[WK0]])&gt;=$D$5, 1+$D$4, 1)))</f>
        <v>-</v>
      </c>
      <c r="N49" s="58" t="str" cm="1">
        <f t="array" ref="N49">IF(Table1[[#This Row],[Total Hours]]=0,"-",SUMPRODUCT(Table1[[#This Row],[WK0]:[WK45]], Table1[[#This Row],[Cost Rate]]*IF(COLUMN(Table1[[#This Row],[WK0]:[WK45]])-COLUMN(Table1[[#This Row],[WK0]])&gt;=$D$5, 1+$D$4, 1)))</f>
        <v>-</v>
      </c>
      <c r="O49" s="60" t="str">
        <f t="shared" si="19"/>
        <v>-</v>
      </c>
      <c r="P49" s="60">
        <f t="shared" si="20"/>
        <v>0</v>
      </c>
      <c r="Q49" s="117">
        <f t="shared" si="21"/>
        <v>0</v>
      </c>
      <c r="R49" s="48"/>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97"/>
      <c r="AU49" s="23"/>
      <c r="AV49" s="23"/>
      <c r="AW49" s="23"/>
      <c r="AX49" s="23"/>
      <c r="AY49" s="23"/>
      <c r="AZ49" s="23"/>
      <c r="BA49" s="23"/>
      <c r="BB49" s="23"/>
      <c r="BC49" s="23"/>
      <c r="BD49" s="23"/>
      <c r="BE49" s="23"/>
      <c r="BF49" s="23"/>
      <c r="BG49" s="23"/>
      <c r="BH49" s="23"/>
      <c r="BI49" s="23"/>
      <c r="BJ49" s="23"/>
      <c r="BK49" s="23"/>
    </row>
    <row r="50" spans="3:63" ht="15">
      <c r="C50" s="95" t="s">
        <v>152</v>
      </c>
      <c r="D50" s="42">
        <f>SUM(Q51:Q55)</f>
        <v>0</v>
      </c>
      <c r="E50" s="22"/>
      <c r="F50" s="22"/>
      <c r="G50" s="22"/>
      <c r="H50" s="22"/>
      <c r="I50" s="22"/>
      <c r="J50" s="22"/>
      <c r="K50" s="22"/>
      <c r="L50" s="22"/>
      <c r="M50" s="22" t="str" cm="1">
        <f t="array" ref="M50">IF(Table1[[#This Row],[Total Hours]]=0,"-",SUMPRODUCT(Table1[[#This Row],[WK0]:[WK45]], Table1[[#This Row],[Bill Rate]]*IF(COLUMN(Table1[[#This Row],[WK0]:[WK45]])-COLUMN(Table1[[#This Row],[WK0]])&gt;=$D$5, 1+$D$4, 1)))</f>
        <v>-</v>
      </c>
      <c r="N50" s="22" t="str" cm="1">
        <f t="array" ref="N50">IF(Table1[[#This Row],[Total Hours]]=0,"-",SUMPRODUCT(Table1[[#This Row],[WK0]:[WK45]], Table1[[#This Row],[Cost Rate]]*IF(COLUMN(Table1[[#This Row],[WK0]:[WK45]])-COLUMN(Table1[[#This Row],[WK0]])&gt;=$D$5, 1+$D$4, 1)))</f>
        <v>-</v>
      </c>
      <c r="O50" s="22"/>
      <c r="P50" s="22"/>
      <c r="Q50" s="46"/>
      <c r="R50" s="50"/>
      <c r="S50" s="62"/>
      <c r="T50" s="62"/>
      <c r="U50" s="62"/>
      <c r="V50" s="62"/>
      <c r="W50" s="62"/>
      <c r="X50" s="62"/>
      <c r="Y50" s="62"/>
      <c r="Z50" s="62"/>
      <c r="AA50" s="62"/>
      <c r="AB50" s="62"/>
      <c r="AC50" s="62"/>
      <c r="AD50" s="62"/>
      <c r="AE50" s="62"/>
      <c r="AF50" s="62"/>
      <c r="AG50" s="62"/>
      <c r="AH50" s="62"/>
      <c r="AI50" s="62"/>
      <c r="AJ50" s="62"/>
      <c r="AK50" s="62"/>
      <c r="AL50" s="62"/>
      <c r="AM50" s="62"/>
      <c r="AN50" s="62"/>
      <c r="AO50" s="62"/>
      <c r="AP50" s="62"/>
      <c r="AQ50" s="62"/>
      <c r="AR50" s="62"/>
      <c r="AS50" s="62"/>
      <c r="AT50" s="98"/>
      <c r="AU50" s="23"/>
      <c r="AV50" s="23"/>
      <c r="AW50" s="23"/>
      <c r="AX50" s="23"/>
      <c r="AY50" s="23"/>
      <c r="AZ50" s="23"/>
      <c r="BA50" s="23"/>
      <c r="BB50" s="23"/>
      <c r="BC50" s="23"/>
      <c r="BD50" s="23"/>
      <c r="BE50" s="23"/>
      <c r="BF50" s="23"/>
      <c r="BG50" s="23"/>
      <c r="BH50" s="23"/>
      <c r="BI50" s="23"/>
      <c r="BJ50" s="23"/>
      <c r="BK50" s="23"/>
    </row>
    <row r="51" spans="3:63" ht="15">
      <c r="C51" s="96"/>
      <c r="D51" s="56"/>
      <c r="E51" s="56"/>
      <c r="F51" s="24"/>
      <c r="G51" s="56"/>
      <c r="H51" s="23"/>
      <c r="I51" s="57">
        <f>SUM(R51:BK51)</f>
        <v>0</v>
      </c>
      <c r="J51" s="58" t="str">
        <f>IFERROR(VLOOKUP(D51,Rates!$A$2:$C$26,3,TRUE),"-")</f>
        <v>-</v>
      </c>
      <c r="K51" s="59" t="str">
        <f t="shared" si="18"/>
        <v>-</v>
      </c>
      <c r="L51" s="58" t="str">
        <f>IFERROR(VLOOKUP(D51,Rates!$A$2:$C$26,2,TRUE),"-")</f>
        <v>-</v>
      </c>
      <c r="M51" s="58" t="str" cm="1">
        <f t="array" ref="M51">IF(Table1[[#This Row],[Total Hours]]=0,"-",SUMPRODUCT(Table1[[#This Row],[WK0]:[WK45]], Table1[[#This Row],[Bill Rate]]*IF(COLUMN(Table1[[#This Row],[WK0]:[WK45]])-COLUMN(Table1[[#This Row],[WK0]])&gt;=$D$5, 1+$D$4, 1)))</f>
        <v>-</v>
      </c>
      <c r="N51" s="58" t="str" cm="1">
        <f t="array" ref="N51">IF(Table1[[#This Row],[Total Hours]]=0,"-",SUMPRODUCT(Table1[[#This Row],[WK0]:[WK45]], Table1[[#This Row],[Cost Rate]]*IF(COLUMN(Table1[[#This Row],[WK0]:[WK45]])-COLUMN(Table1[[#This Row],[WK0]])&gt;=$D$5, 1+$D$4, 1)))</f>
        <v>-</v>
      </c>
      <c r="O51" s="60" t="str">
        <f t="shared" si="19"/>
        <v>-</v>
      </c>
      <c r="P51" s="60">
        <f t="shared" si="20"/>
        <v>0</v>
      </c>
      <c r="Q51" s="117">
        <f t="shared" si="21"/>
        <v>0</v>
      </c>
      <c r="R51" s="48"/>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97"/>
      <c r="AU51" s="23"/>
      <c r="AV51" s="23"/>
      <c r="AW51" s="23"/>
      <c r="AX51" s="23"/>
      <c r="AY51" s="23"/>
      <c r="AZ51" s="23"/>
      <c r="BA51" s="23"/>
      <c r="BB51" s="23"/>
      <c r="BC51" s="23"/>
      <c r="BD51" s="23"/>
      <c r="BE51" s="23"/>
      <c r="BF51" s="23"/>
      <c r="BG51" s="23"/>
      <c r="BH51" s="23"/>
      <c r="BI51" s="23"/>
      <c r="BJ51" s="23"/>
      <c r="BK51" s="23"/>
    </row>
    <row r="52" spans="3:63" ht="15">
      <c r="C52" s="96"/>
      <c r="D52" s="56"/>
      <c r="E52" s="56"/>
      <c r="F52" s="24"/>
      <c r="G52" s="56"/>
      <c r="H52" s="23"/>
      <c r="I52" s="57">
        <f t="shared" ref="I52:I58" si="27">SUM(R52:BK52)</f>
        <v>0</v>
      </c>
      <c r="J52" s="58" t="str">
        <f>IFERROR(VLOOKUP(D52,Rates!$A$2:$C$26,3,TRUE),"-")</f>
        <v>-</v>
      </c>
      <c r="K52" s="59" t="str">
        <f t="shared" si="18"/>
        <v>-</v>
      </c>
      <c r="L52" s="58" t="str">
        <f>IFERROR(VLOOKUP(D52,Rates!$A$2:$C$26,2,TRUE),"-")</f>
        <v>-</v>
      </c>
      <c r="M52" s="58" t="str" cm="1">
        <f t="array" ref="M52">IF(Table1[[#This Row],[Total Hours]]=0,"-",SUMPRODUCT(Table1[[#This Row],[WK0]:[WK45]], Table1[[#This Row],[Bill Rate]]*IF(COLUMN(Table1[[#This Row],[WK0]:[WK45]])-COLUMN(Table1[[#This Row],[WK0]])&gt;=$D$5, 1+$D$4, 1)))</f>
        <v>-</v>
      </c>
      <c r="N52" s="58" t="str" cm="1">
        <f t="array" ref="N52">IF(Table1[[#This Row],[Total Hours]]=0,"-",SUMPRODUCT(Table1[[#This Row],[WK0]:[WK45]], Table1[[#This Row],[Cost Rate]]*IF(COLUMN(Table1[[#This Row],[WK0]:[WK45]])-COLUMN(Table1[[#This Row],[WK0]])&gt;=$D$5, 1+$D$4, 1)))</f>
        <v>-</v>
      </c>
      <c r="O52" s="60" t="str">
        <f t="shared" si="19"/>
        <v>-</v>
      </c>
      <c r="P52" s="60">
        <f t="shared" si="20"/>
        <v>0</v>
      </c>
      <c r="Q52" s="117">
        <f t="shared" si="21"/>
        <v>0</v>
      </c>
      <c r="R52" s="48"/>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97"/>
      <c r="AU52" s="23"/>
      <c r="AV52" s="23"/>
      <c r="AW52" s="23"/>
      <c r="AX52" s="23"/>
      <c r="AY52" s="23"/>
      <c r="AZ52" s="23"/>
      <c r="BA52" s="23"/>
      <c r="BB52" s="23"/>
      <c r="BC52" s="23"/>
      <c r="BD52" s="23"/>
      <c r="BE52" s="23"/>
      <c r="BF52" s="23"/>
      <c r="BG52" s="23"/>
      <c r="BH52" s="23"/>
      <c r="BI52" s="23"/>
      <c r="BJ52" s="23"/>
      <c r="BK52" s="23"/>
    </row>
    <row r="53" spans="3:63" ht="15">
      <c r="C53" s="96"/>
      <c r="D53" s="56"/>
      <c r="E53" s="56"/>
      <c r="F53" s="24"/>
      <c r="G53" s="56"/>
      <c r="H53" s="23"/>
      <c r="I53" s="57">
        <f t="shared" si="27"/>
        <v>0</v>
      </c>
      <c r="J53" s="58" t="str">
        <f>IFERROR(VLOOKUP(D53,Rates!$A$2:$C$26,3,TRUE),"-")</f>
        <v>-</v>
      </c>
      <c r="K53" s="59" t="str">
        <f t="shared" si="14"/>
        <v>-</v>
      </c>
      <c r="L53" s="58" t="str">
        <f>IFERROR(VLOOKUP(D53,Rates!$A$2:$C$26,2,TRUE),"-")</f>
        <v>-</v>
      </c>
      <c r="M53" s="58" t="str" cm="1">
        <f t="array" ref="M53">IF(Table1[[#This Row],[Total Hours]]=0,"-",SUMPRODUCT(Table1[[#This Row],[WK0]:[WK45]], Table1[[#This Row],[Bill Rate]]*IF(COLUMN(Table1[[#This Row],[WK0]:[WK45]])-COLUMN(Table1[[#This Row],[WK0]])&gt;=$D$5, 1+$D$4, 1)))</f>
        <v>-</v>
      </c>
      <c r="N53" s="58" t="str" cm="1">
        <f t="array" ref="N53">IF(Table1[[#This Row],[Total Hours]]=0,"-",SUMPRODUCT(Table1[[#This Row],[WK0]:[WK45]], Table1[[#This Row],[Cost Rate]]*IF(COLUMN(Table1[[#This Row],[WK0]:[WK45]])-COLUMN(Table1[[#This Row],[WK0]])&gt;=$D$5, 1+$D$4, 1)))</f>
        <v>-</v>
      </c>
      <c r="O53" s="60" t="str">
        <f t="shared" si="15"/>
        <v>-</v>
      </c>
      <c r="P53" s="60">
        <f t="shared" si="16"/>
        <v>0</v>
      </c>
      <c r="Q53" s="117">
        <f t="shared" si="17"/>
        <v>0</v>
      </c>
      <c r="R53" s="48"/>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97"/>
      <c r="AU53" s="23"/>
      <c r="AV53" s="23"/>
      <c r="AW53" s="23"/>
      <c r="AX53" s="23"/>
      <c r="AY53" s="23"/>
      <c r="AZ53" s="23"/>
      <c r="BA53" s="23"/>
      <c r="BB53" s="23"/>
      <c r="BC53" s="23"/>
      <c r="BD53" s="23"/>
      <c r="BE53" s="23"/>
      <c r="BF53" s="23"/>
      <c r="BG53" s="23"/>
      <c r="BH53" s="23"/>
      <c r="BI53" s="23"/>
      <c r="BJ53" s="23"/>
      <c r="BK53" s="23"/>
    </row>
    <row r="54" spans="3:63" ht="15">
      <c r="C54" s="96"/>
      <c r="D54" s="56"/>
      <c r="E54" s="56"/>
      <c r="F54" s="24"/>
      <c r="G54" s="56"/>
      <c r="H54" s="23"/>
      <c r="I54" s="57">
        <f t="shared" si="27"/>
        <v>0</v>
      </c>
      <c r="J54" s="58" t="str">
        <f>IFERROR(VLOOKUP(D54,Rates!$A$2:$C$26,3,TRUE),"-")</f>
        <v>-</v>
      </c>
      <c r="K54" s="59" t="str">
        <f t="shared" si="14"/>
        <v>-</v>
      </c>
      <c r="L54" s="58" t="str">
        <f>IFERROR(VLOOKUP(D54,Rates!$A$2:$C$26,2,TRUE),"-")</f>
        <v>-</v>
      </c>
      <c r="M54" s="58" t="str" cm="1">
        <f t="array" ref="M54">IF(Table1[[#This Row],[Total Hours]]=0,"-",SUMPRODUCT(Table1[[#This Row],[WK0]:[WK45]], Table1[[#This Row],[Bill Rate]]*IF(COLUMN(Table1[[#This Row],[WK0]:[WK45]])-COLUMN(Table1[[#This Row],[WK0]])&gt;=$D$5, 1+$D$4, 1)))</f>
        <v>-</v>
      </c>
      <c r="N54" s="58" t="str" cm="1">
        <f t="array" ref="N54">IF(Table1[[#This Row],[Total Hours]]=0,"-",SUMPRODUCT(Table1[[#This Row],[WK0]:[WK45]], Table1[[#This Row],[Cost Rate]]*IF(COLUMN(Table1[[#This Row],[WK0]:[WK45]])-COLUMN(Table1[[#This Row],[WK0]])&gt;=$D$5, 1+$D$4, 1)))</f>
        <v>-</v>
      </c>
      <c r="O54" s="60" t="str">
        <f t="shared" si="15"/>
        <v>-</v>
      </c>
      <c r="P54" s="60">
        <f t="shared" si="16"/>
        <v>0</v>
      </c>
      <c r="Q54" s="117">
        <f t="shared" si="17"/>
        <v>0</v>
      </c>
      <c r="R54" s="48"/>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97"/>
      <c r="AU54" s="23"/>
      <c r="AV54" s="23"/>
      <c r="AW54" s="23"/>
      <c r="AX54" s="23"/>
      <c r="AY54" s="23"/>
      <c r="AZ54" s="23"/>
      <c r="BA54" s="23"/>
      <c r="BB54" s="23"/>
      <c r="BC54" s="23"/>
      <c r="BD54" s="23"/>
      <c r="BE54" s="23"/>
      <c r="BF54" s="23"/>
      <c r="BG54" s="23"/>
      <c r="BH54" s="23"/>
      <c r="BI54" s="23"/>
      <c r="BJ54" s="23"/>
      <c r="BK54" s="23"/>
    </row>
    <row r="55" spans="3:63" ht="15">
      <c r="C55" s="96"/>
      <c r="D55" s="56"/>
      <c r="E55" s="56"/>
      <c r="F55" s="24"/>
      <c r="G55" s="56"/>
      <c r="H55" s="23"/>
      <c r="I55" s="57">
        <f t="shared" si="27"/>
        <v>0</v>
      </c>
      <c r="J55" s="58" t="str">
        <f>IFERROR(VLOOKUP(D55,Rates!$A$2:$C$26,3,TRUE),"-")</f>
        <v>-</v>
      </c>
      <c r="K55" s="59" t="str">
        <f t="shared" si="14"/>
        <v>-</v>
      </c>
      <c r="L55" s="58" t="str">
        <f>IFERROR(VLOOKUP(D55,Rates!$A$2:$C$26,2,TRUE),"-")</f>
        <v>-</v>
      </c>
      <c r="M55" s="58" t="str" cm="1">
        <f t="array" ref="M55">IF(Table1[[#This Row],[Total Hours]]=0,"-",SUMPRODUCT(Table1[[#This Row],[WK0]:[WK45]], Table1[[#This Row],[Bill Rate]]*IF(COLUMN(Table1[[#This Row],[WK0]:[WK45]])-COLUMN(Table1[[#This Row],[WK0]])&gt;=$D$5, 1+$D$4, 1)))</f>
        <v>-</v>
      </c>
      <c r="N55" s="58" t="str" cm="1">
        <f t="array" ref="N55">IF(Table1[[#This Row],[Total Hours]]=0,"-",SUMPRODUCT(Table1[[#This Row],[WK0]:[WK45]], Table1[[#This Row],[Cost Rate]]*IF(COLUMN(Table1[[#This Row],[WK0]:[WK45]])-COLUMN(Table1[[#This Row],[WK0]])&gt;=$D$5, 1+$D$4, 1)))</f>
        <v>-</v>
      </c>
      <c r="O55" s="60" t="str">
        <f t="shared" si="15"/>
        <v>-</v>
      </c>
      <c r="P55" s="60">
        <f t="shared" si="16"/>
        <v>0</v>
      </c>
      <c r="Q55" s="117">
        <f t="shared" si="17"/>
        <v>0</v>
      </c>
      <c r="R55" s="48"/>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97"/>
      <c r="AU55" s="23"/>
      <c r="AV55" s="23"/>
      <c r="AW55" s="23"/>
      <c r="AX55" s="23"/>
      <c r="AY55" s="23"/>
      <c r="AZ55" s="23"/>
      <c r="BA55" s="23"/>
      <c r="BB55" s="23"/>
      <c r="BC55" s="23"/>
      <c r="BD55" s="23"/>
      <c r="BE55" s="23"/>
      <c r="BF55" s="23"/>
      <c r="BG55" s="23"/>
      <c r="BH55" s="23"/>
      <c r="BI55" s="23"/>
      <c r="BJ55" s="23"/>
      <c r="BK55" s="23"/>
    </row>
    <row r="56" spans="3:63" ht="15">
      <c r="C56" s="96"/>
      <c r="D56" s="56"/>
      <c r="E56" s="56"/>
      <c r="F56" s="24"/>
      <c r="G56" s="56"/>
      <c r="H56" s="23"/>
      <c r="I56" s="57">
        <f t="shared" si="27"/>
        <v>0</v>
      </c>
      <c r="J56" s="58" t="str">
        <f>IFERROR(VLOOKUP(D56,Rates!$A$2:$C$26,3,TRUE),"-")</f>
        <v>-</v>
      </c>
      <c r="K56" s="59" t="str">
        <f t="shared" ref="K56:K62" si="28">J56</f>
        <v>-</v>
      </c>
      <c r="L56" s="58" t="str">
        <f>IFERROR(VLOOKUP(D56,Rates!$A$2:$C$26,2,TRUE),"-")</f>
        <v>-</v>
      </c>
      <c r="M56" s="58" t="str" cm="1">
        <f t="array" ref="M56">IF(Table1[[#This Row],[Total Hours]]=0,"-",SUMPRODUCT(Table1[[#This Row],[WK0]:[WK45]], Table1[[#This Row],[Bill Rate]]*IF(COLUMN(Table1[[#This Row],[WK0]:[WK45]])-COLUMN(Table1[[#This Row],[WK0]])&gt;=$D$5, 1+$D$4, 1)))</f>
        <v>-</v>
      </c>
      <c r="N56" s="58" t="str" cm="1">
        <f t="array" ref="N56">IF(Table1[[#This Row],[Total Hours]]=0,"-",SUMPRODUCT(Table1[[#This Row],[WK0]:[WK45]], Table1[[#This Row],[Cost Rate]]*IF(COLUMN(Table1[[#This Row],[WK0]:[WK45]])-COLUMN(Table1[[#This Row],[WK0]])&gt;=$D$5, 1+$D$4, 1)))</f>
        <v>-</v>
      </c>
      <c r="O56" s="60" t="str">
        <f t="shared" ref="O56:O62" si="29">IFERROR((M56-N56)/M56,"-")</f>
        <v>-</v>
      </c>
      <c r="P56" s="60">
        <f t="shared" ref="P56:P62" si="30">IFERROR((J56-K56)/J56,0)</f>
        <v>0</v>
      </c>
      <c r="Q56" s="117">
        <f t="shared" ref="Q56:Q62" si="31">IFERROR(M56/$B$7,0)</f>
        <v>0</v>
      </c>
      <c r="R56" s="48"/>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97"/>
      <c r="AU56" s="23"/>
      <c r="AV56" s="23"/>
      <c r="AW56" s="23"/>
      <c r="AX56" s="23"/>
      <c r="AY56" s="23"/>
      <c r="AZ56" s="23"/>
      <c r="BA56" s="23"/>
      <c r="BB56" s="23"/>
      <c r="BC56" s="23"/>
      <c r="BD56" s="23"/>
      <c r="BE56" s="23"/>
      <c r="BF56" s="23"/>
      <c r="BG56" s="23"/>
      <c r="BH56" s="23"/>
      <c r="BI56" s="23"/>
      <c r="BJ56" s="23"/>
      <c r="BK56" s="23"/>
    </row>
    <row r="57" spans="3:63" ht="15">
      <c r="C57" s="96"/>
      <c r="D57" s="56"/>
      <c r="E57" s="56"/>
      <c r="F57" s="24"/>
      <c r="G57" s="56"/>
      <c r="H57" s="23"/>
      <c r="I57" s="57">
        <f t="shared" si="27"/>
        <v>0</v>
      </c>
      <c r="J57" s="58" t="str">
        <f>IFERROR(VLOOKUP(D57,Rates!$A$2:$C$26,3,TRUE),"-")</f>
        <v>-</v>
      </c>
      <c r="K57" s="59" t="str">
        <f t="shared" ref="K57:K58" si="32">J57</f>
        <v>-</v>
      </c>
      <c r="L57" s="58" t="str">
        <f>IFERROR(VLOOKUP(D57,Rates!$A$2:$C$26,2,TRUE),"-")</f>
        <v>-</v>
      </c>
      <c r="M57" s="58" t="str" cm="1">
        <f t="array" ref="M57">IF(Table1[[#This Row],[Total Hours]]=0,"-",SUMPRODUCT(Table1[[#This Row],[WK0]:[WK45]], Table1[[#This Row],[Bill Rate]]*IF(COLUMN(Table1[[#This Row],[WK0]:[WK45]])-COLUMN(Table1[[#This Row],[WK0]])&gt;=$D$5, 1+$D$4, 1)))</f>
        <v>-</v>
      </c>
      <c r="N57" s="58" t="str" cm="1">
        <f t="array" ref="N57">IF(Table1[[#This Row],[Total Hours]]=0,"-",SUMPRODUCT(Table1[[#This Row],[WK0]:[WK45]], Table1[[#This Row],[Cost Rate]]*IF(COLUMN(Table1[[#This Row],[WK0]:[WK45]])-COLUMN(Table1[[#This Row],[WK0]])&gt;=$D$5, 1+$D$4, 1)))</f>
        <v>-</v>
      </c>
      <c r="O57" s="60" t="str">
        <f t="shared" ref="O57:O58" si="33">IFERROR((M57-N57)/M57,"-")</f>
        <v>-</v>
      </c>
      <c r="P57" s="60">
        <f t="shared" ref="P57:P58" si="34">IFERROR((J57-K57)/J57,0)</f>
        <v>0</v>
      </c>
      <c r="Q57" s="117">
        <f t="shared" ref="Q57:Q58" si="35">IFERROR(M57/$B$7,0)</f>
        <v>0</v>
      </c>
      <c r="R57" s="48"/>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97"/>
      <c r="AU57" s="23"/>
      <c r="AV57" s="23"/>
      <c r="AW57" s="23"/>
      <c r="AX57" s="23"/>
      <c r="AY57" s="23"/>
      <c r="AZ57" s="23"/>
      <c r="BA57" s="23"/>
      <c r="BB57" s="23"/>
      <c r="BC57" s="23"/>
      <c r="BD57" s="23"/>
      <c r="BE57" s="23"/>
      <c r="BF57" s="23"/>
      <c r="BG57" s="23"/>
      <c r="BH57" s="23"/>
      <c r="BI57" s="23"/>
      <c r="BJ57" s="23"/>
      <c r="BK57" s="23"/>
    </row>
    <row r="58" spans="3:63" ht="15">
      <c r="C58" s="96"/>
      <c r="D58" s="56"/>
      <c r="E58" s="56"/>
      <c r="F58" s="24"/>
      <c r="G58" s="56"/>
      <c r="H58" s="23"/>
      <c r="I58" s="57">
        <f t="shared" si="27"/>
        <v>0</v>
      </c>
      <c r="J58" s="58" t="str">
        <f>IFERROR(VLOOKUP(D58,Rates!$A$2:$C$26,3,TRUE),"-")</f>
        <v>-</v>
      </c>
      <c r="K58" s="59" t="str">
        <f t="shared" si="32"/>
        <v>-</v>
      </c>
      <c r="L58" s="58" t="str">
        <f>IFERROR(VLOOKUP(D58,Rates!$A$2:$C$26,2,TRUE),"-")</f>
        <v>-</v>
      </c>
      <c r="M58" s="58" t="str" cm="1">
        <f t="array" ref="M58">IF(Table1[[#This Row],[Total Hours]]=0,"-",SUMPRODUCT(Table1[[#This Row],[WK0]:[WK45]], Table1[[#This Row],[Bill Rate]]*IF(COLUMN(Table1[[#This Row],[WK0]:[WK45]])-COLUMN(Table1[[#This Row],[WK0]])&gt;=$D$5, 1+$D$4, 1)))</f>
        <v>-</v>
      </c>
      <c r="N58" s="58" t="str" cm="1">
        <f t="array" ref="N58">IF(Table1[[#This Row],[Total Hours]]=0,"-",SUMPRODUCT(Table1[[#This Row],[WK0]:[WK45]], Table1[[#This Row],[Cost Rate]]*IF(COLUMN(Table1[[#This Row],[WK0]:[WK45]])-COLUMN(Table1[[#This Row],[WK0]])&gt;=$D$5, 1+$D$4, 1)))</f>
        <v>-</v>
      </c>
      <c r="O58" s="60" t="str">
        <f t="shared" si="33"/>
        <v>-</v>
      </c>
      <c r="P58" s="60">
        <f t="shared" si="34"/>
        <v>0</v>
      </c>
      <c r="Q58" s="117">
        <f t="shared" si="35"/>
        <v>0</v>
      </c>
      <c r="R58" s="48"/>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97"/>
      <c r="AU58" s="23"/>
      <c r="AV58" s="23"/>
      <c r="AW58" s="23"/>
      <c r="AX58" s="23"/>
      <c r="AY58" s="23"/>
      <c r="AZ58" s="23"/>
      <c r="BA58" s="23"/>
      <c r="BB58" s="23"/>
      <c r="BC58" s="23"/>
      <c r="BD58" s="23"/>
      <c r="BE58" s="23"/>
      <c r="BF58" s="23"/>
      <c r="BG58" s="23"/>
      <c r="BH58" s="23"/>
      <c r="BI58" s="23"/>
      <c r="BJ58" s="23"/>
      <c r="BK58" s="23"/>
    </row>
    <row r="59" spans="3:63" ht="15">
      <c r="C59" s="95"/>
      <c r="D59" s="42">
        <f>SUM(Q60:Q64)</f>
        <v>0</v>
      </c>
      <c r="E59" s="22"/>
      <c r="F59" s="22"/>
      <c r="G59" s="22"/>
      <c r="H59" s="22"/>
      <c r="I59" s="22"/>
      <c r="J59" s="22"/>
      <c r="K59" s="22"/>
      <c r="L59" s="22"/>
      <c r="M59" s="22" t="str" cm="1">
        <f t="array" ref="M59">IF(Table1[[#This Row],[Total Hours]]=0,"-",SUMPRODUCT(Table1[[#This Row],[WK0]:[WK45]], Table1[[#This Row],[Bill Rate]]*IF(COLUMN(Table1[[#This Row],[WK0]:[WK45]])-COLUMN(Table1[[#This Row],[WK0]])&gt;=$D$5, 1+$D$4, 1)))</f>
        <v>-</v>
      </c>
      <c r="N59" s="22" t="str" cm="1">
        <f t="array" ref="N59">IF(Table1[[#This Row],[Total Hours]]=0,"-",SUMPRODUCT(Table1[[#This Row],[WK0]:[WK45]], Table1[[#This Row],[Cost Rate]]*IF(COLUMN(Table1[[#This Row],[WK0]:[WK45]])-COLUMN(Table1[[#This Row],[WK0]])&gt;=$D$5, 1+$D$4, 1)))</f>
        <v>-</v>
      </c>
      <c r="O59" s="22"/>
      <c r="P59" s="22"/>
      <c r="Q59" s="46"/>
      <c r="R59" s="50"/>
      <c r="S59" s="62"/>
      <c r="T59" s="62"/>
      <c r="U59" s="62"/>
      <c r="V59" s="62"/>
      <c r="W59" s="62"/>
      <c r="X59" s="62"/>
      <c r="Y59" s="62"/>
      <c r="Z59" s="62"/>
      <c r="AA59" s="62"/>
      <c r="AB59" s="62"/>
      <c r="AC59" s="62"/>
      <c r="AD59" s="62"/>
      <c r="AE59" s="62"/>
      <c r="AF59" s="62"/>
      <c r="AG59" s="62"/>
      <c r="AH59" s="62"/>
      <c r="AI59" s="62"/>
      <c r="AJ59" s="62"/>
      <c r="AK59" s="62"/>
      <c r="AL59" s="62"/>
      <c r="AM59" s="62"/>
      <c r="AN59" s="62"/>
      <c r="AO59" s="62"/>
      <c r="AP59" s="62"/>
      <c r="AQ59" s="62"/>
      <c r="AR59" s="62"/>
      <c r="AS59" s="62"/>
      <c r="AT59" s="98"/>
      <c r="AU59" s="23"/>
      <c r="AV59" s="23"/>
      <c r="AW59" s="23"/>
      <c r="AX59" s="23"/>
      <c r="AY59" s="23"/>
      <c r="AZ59" s="23"/>
      <c r="BA59" s="23"/>
      <c r="BB59" s="23"/>
      <c r="BC59" s="23"/>
      <c r="BD59" s="23"/>
      <c r="BE59" s="23"/>
      <c r="BF59" s="23"/>
      <c r="BG59" s="23"/>
      <c r="BH59" s="23"/>
      <c r="BI59" s="23"/>
      <c r="BJ59" s="23"/>
      <c r="BK59" s="23"/>
    </row>
    <row r="60" spans="3:63" ht="15">
      <c r="C60" s="96"/>
      <c r="D60" s="56"/>
      <c r="E60" s="56"/>
      <c r="F60" s="24"/>
      <c r="G60" s="56"/>
      <c r="H60" s="23"/>
      <c r="I60" s="57">
        <f t="shared" ref="I60:I63" si="36">SUM(R60:BK60)</f>
        <v>0</v>
      </c>
      <c r="J60" s="58" t="str">
        <f>IFERROR(VLOOKUP(D60,Rates!$A$2:$C$26,3,TRUE),"-")</f>
        <v>-</v>
      </c>
      <c r="K60" s="59" t="str">
        <f t="shared" ref="K60:K61" si="37">J60</f>
        <v>-</v>
      </c>
      <c r="L60" s="58" t="str">
        <f>IFERROR(VLOOKUP(D60,Rates!$A$2:$C$26,2,TRUE),"-")</f>
        <v>-</v>
      </c>
      <c r="M60" s="58" t="str" cm="1">
        <f t="array" ref="M60">IF(Table1[[#This Row],[Total Hours]]=0,"-",SUMPRODUCT(Table1[[#This Row],[WK0]:[WK45]], Table1[[#This Row],[Bill Rate]]*IF(COLUMN(Table1[[#This Row],[WK0]:[WK45]])-COLUMN(Table1[[#This Row],[WK0]])&gt;=$D$5, 1+$D$4, 1)))</f>
        <v>-</v>
      </c>
      <c r="N60" s="58" t="str" cm="1">
        <f t="array" ref="N60">IF(Table1[[#This Row],[Total Hours]]=0,"-",SUMPRODUCT(Table1[[#This Row],[WK0]:[WK45]], Table1[[#This Row],[Cost Rate]]*IF(COLUMN(Table1[[#This Row],[WK0]:[WK45]])-COLUMN(Table1[[#This Row],[WK0]])&gt;=$D$5, 1+$D$4, 1)))</f>
        <v>-</v>
      </c>
      <c r="O60" s="60" t="str">
        <f t="shared" ref="O60:O61" si="38">IFERROR((M60-N60)/M60,"-")</f>
        <v>-</v>
      </c>
      <c r="P60" s="60">
        <f t="shared" ref="P60:P61" si="39">IFERROR((J60-K60)/J60,0)</f>
        <v>0</v>
      </c>
      <c r="Q60" s="117">
        <f t="shared" ref="Q60:Q61" si="40">IFERROR(M60/$B$7,0)</f>
        <v>0</v>
      </c>
      <c r="R60" s="48"/>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97"/>
      <c r="AU60" s="23"/>
      <c r="AV60" s="23"/>
      <c r="AW60" s="23"/>
      <c r="AX60" s="23"/>
      <c r="AY60" s="23"/>
      <c r="AZ60" s="23"/>
      <c r="BA60" s="23"/>
      <c r="BB60" s="23"/>
      <c r="BC60" s="23"/>
      <c r="BD60" s="23"/>
      <c r="BE60" s="23"/>
      <c r="BF60" s="23"/>
      <c r="BG60" s="23"/>
      <c r="BH60" s="23"/>
      <c r="BI60" s="23"/>
      <c r="BJ60" s="23"/>
      <c r="BK60" s="23"/>
    </row>
    <row r="61" spans="3:63" ht="15">
      <c r="C61" s="96"/>
      <c r="D61" s="56"/>
      <c r="E61" s="56"/>
      <c r="F61" s="24"/>
      <c r="G61" s="56"/>
      <c r="H61" s="23"/>
      <c r="I61" s="57">
        <f t="shared" si="36"/>
        <v>0</v>
      </c>
      <c r="J61" s="58" t="str">
        <f>IFERROR(VLOOKUP(D61,Rates!$A$2:$C$26,3,TRUE),"-")</f>
        <v>-</v>
      </c>
      <c r="K61" s="59" t="str">
        <f t="shared" si="37"/>
        <v>-</v>
      </c>
      <c r="L61" s="58" t="str">
        <f>IFERROR(VLOOKUP(D61,Rates!$A$2:$C$26,2,TRUE),"-")</f>
        <v>-</v>
      </c>
      <c r="M61" s="58" t="str" cm="1">
        <f t="array" ref="M61">IF(Table1[[#This Row],[Total Hours]]=0,"-",SUMPRODUCT(Table1[[#This Row],[WK0]:[WK45]], Table1[[#This Row],[Bill Rate]]*IF(COLUMN(Table1[[#This Row],[WK0]:[WK45]])-COLUMN(Table1[[#This Row],[WK0]])&gt;=$D$5, 1+$D$4, 1)))</f>
        <v>-</v>
      </c>
      <c r="N61" s="58" t="str" cm="1">
        <f t="array" ref="N61">IF(Table1[[#This Row],[Total Hours]]=0,"-",SUMPRODUCT(Table1[[#This Row],[WK0]:[WK45]], Table1[[#This Row],[Cost Rate]]*IF(COLUMN(Table1[[#This Row],[WK0]:[WK45]])-COLUMN(Table1[[#This Row],[WK0]])&gt;=$D$5, 1+$D$4, 1)))</f>
        <v>-</v>
      </c>
      <c r="O61" s="60" t="str">
        <f t="shared" si="38"/>
        <v>-</v>
      </c>
      <c r="P61" s="60">
        <f t="shared" si="39"/>
        <v>0</v>
      </c>
      <c r="Q61" s="117">
        <f t="shared" si="40"/>
        <v>0</v>
      </c>
      <c r="R61" s="48"/>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97"/>
      <c r="AU61" s="23"/>
      <c r="AV61" s="23"/>
      <c r="AW61" s="23"/>
      <c r="AX61" s="23"/>
      <c r="AY61" s="23"/>
      <c r="AZ61" s="23"/>
      <c r="BA61" s="23"/>
      <c r="BB61" s="23"/>
      <c r="BC61" s="23"/>
      <c r="BD61" s="23"/>
      <c r="BE61" s="23"/>
      <c r="BF61" s="23"/>
      <c r="BG61" s="23"/>
      <c r="BH61" s="23"/>
      <c r="BI61" s="23"/>
      <c r="BJ61" s="23"/>
      <c r="BK61" s="23"/>
    </row>
    <row r="62" spans="3:63" ht="15">
      <c r="C62" s="96"/>
      <c r="D62" s="56"/>
      <c r="E62" s="56"/>
      <c r="F62" s="24"/>
      <c r="G62" s="56"/>
      <c r="H62" s="23"/>
      <c r="I62" s="57">
        <f t="shared" si="36"/>
        <v>0</v>
      </c>
      <c r="J62" s="58" t="str">
        <f>IFERROR(VLOOKUP(D62,Rates!$A$2:$C$26,3,TRUE),"-")</f>
        <v>-</v>
      </c>
      <c r="K62" s="59" t="str">
        <f t="shared" si="28"/>
        <v>-</v>
      </c>
      <c r="L62" s="58" t="str">
        <f>IFERROR(VLOOKUP(D62,Rates!$A$2:$C$26,2,TRUE),"-")</f>
        <v>-</v>
      </c>
      <c r="M62" s="58" t="str" cm="1">
        <f t="array" ref="M62">IF(Table1[[#This Row],[Total Hours]]=0,"-",SUMPRODUCT(Table1[[#This Row],[WK0]:[WK45]], Table1[[#This Row],[Bill Rate]]*IF(COLUMN(Table1[[#This Row],[WK0]:[WK45]])-COLUMN(Table1[[#This Row],[WK0]])&gt;=$D$5, 1+$D$4, 1)))</f>
        <v>-</v>
      </c>
      <c r="N62" s="58" t="str" cm="1">
        <f t="array" ref="N62">IF(Table1[[#This Row],[Total Hours]]=0,"-",SUMPRODUCT(Table1[[#This Row],[WK0]:[WK45]], Table1[[#This Row],[Cost Rate]]*IF(COLUMN(Table1[[#This Row],[WK0]:[WK45]])-COLUMN(Table1[[#This Row],[WK0]])&gt;=$D$5, 1+$D$4, 1)))</f>
        <v>-</v>
      </c>
      <c r="O62" s="60" t="str">
        <f t="shared" si="29"/>
        <v>-</v>
      </c>
      <c r="P62" s="60">
        <f t="shared" si="30"/>
        <v>0</v>
      </c>
      <c r="Q62" s="117">
        <f t="shared" si="31"/>
        <v>0</v>
      </c>
      <c r="R62" s="48"/>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97"/>
      <c r="AU62" s="23"/>
      <c r="AV62" s="23"/>
      <c r="AW62" s="23"/>
      <c r="AX62" s="23"/>
      <c r="AY62" s="23"/>
      <c r="AZ62" s="23"/>
      <c r="BA62" s="23"/>
      <c r="BB62" s="23"/>
      <c r="BC62" s="23"/>
      <c r="BD62" s="23"/>
      <c r="BE62" s="23"/>
      <c r="BF62" s="23"/>
      <c r="BG62" s="23"/>
      <c r="BH62" s="23"/>
      <c r="BI62" s="23"/>
      <c r="BJ62" s="23"/>
      <c r="BK62" s="23"/>
    </row>
    <row r="63" spans="3:63" ht="15">
      <c r="C63" s="96"/>
      <c r="D63" s="56"/>
      <c r="E63" s="56"/>
      <c r="F63" s="24"/>
      <c r="G63" s="56"/>
      <c r="H63" s="23"/>
      <c r="I63" s="57">
        <f t="shared" si="36"/>
        <v>0</v>
      </c>
      <c r="J63" s="58" t="str">
        <f>IFERROR(VLOOKUP(D63,Rates!$A$2:$C$26,3,TRUE),"-")</f>
        <v>-</v>
      </c>
      <c r="K63" s="59" t="str">
        <f>J63</f>
        <v>-</v>
      </c>
      <c r="L63" s="58" t="str">
        <f>IFERROR(VLOOKUP(D63,Rates!$A$2:$C$26,2,TRUE),"-")</f>
        <v>-</v>
      </c>
      <c r="M63" s="58" t="str" cm="1">
        <f t="array" ref="M63">IF(Table1[[#This Row],[Total Hours]]=0,"-",SUMPRODUCT(Table1[[#This Row],[WK0]:[WK45]], Table1[[#This Row],[Bill Rate]]*IF(COLUMN(Table1[[#This Row],[WK0]:[WK45]])-COLUMN(Table1[[#This Row],[WK0]])&gt;=$D$5, 1+$D$4, 1)))</f>
        <v>-</v>
      </c>
      <c r="N63" s="58" t="str" cm="1">
        <f t="array" ref="N63">IF(Table1[[#This Row],[Total Hours]]=0,"-",SUMPRODUCT(Table1[[#This Row],[WK0]:[WK45]], Table1[[#This Row],[Cost Rate]]*IF(COLUMN(Table1[[#This Row],[WK0]:[WK45]])-COLUMN(Table1[[#This Row],[WK0]])&gt;=$D$5, 1+$D$4, 1)))</f>
        <v>-</v>
      </c>
      <c r="O63" s="60" t="str">
        <f>IFERROR((M63-N63)/M63,"-")</f>
        <v>-</v>
      </c>
      <c r="P63" s="60">
        <f>IFERROR((J63-K63)/J63,0)</f>
        <v>0</v>
      </c>
      <c r="Q63" s="117">
        <f>IFERROR(M63/$B$7,0)</f>
        <v>0</v>
      </c>
      <c r="R63" s="48"/>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97"/>
      <c r="AU63" s="23"/>
      <c r="AV63" s="23"/>
      <c r="AW63" s="23"/>
      <c r="AX63" s="23"/>
      <c r="AY63" s="23"/>
      <c r="AZ63" s="23"/>
      <c r="BA63" s="23"/>
      <c r="BB63" s="23"/>
      <c r="BC63" s="23"/>
      <c r="BD63" s="23"/>
      <c r="BE63" s="23"/>
      <c r="BF63" s="23"/>
      <c r="BG63" s="23"/>
      <c r="BH63" s="23"/>
      <c r="BI63" s="23"/>
      <c r="BJ63" s="23"/>
      <c r="BK63" s="23"/>
    </row>
    <row r="64" spans="3:63" ht="15">
      <c r="C64" s="68" t="s">
        <v>153</v>
      </c>
      <c r="D64" s="67">
        <f>SUM(Q65:Q69)</f>
        <v>1.5085663701581719E-2</v>
      </c>
      <c r="E64" s="68"/>
      <c r="F64" s="68"/>
      <c r="G64" s="68"/>
      <c r="H64" s="68"/>
      <c r="I64" s="68"/>
      <c r="J64" s="68"/>
      <c r="K64" s="68"/>
      <c r="L64" s="68"/>
      <c r="M64" s="68" t="str" cm="1">
        <f t="array" ref="M64">IF(Table1[[#This Row],[Total Hours]]=0,"-",SUMPRODUCT(Table1[[#This Row],[WK0]:[WK45]], Table1[[#This Row],[Bill Rate]]*IF(COLUMN(Table1[[#This Row],[WK0]:[WK45]])-COLUMN(Table1[[#This Row],[WK0]])&gt;=$D$5, 1+$D$4, 1)))</f>
        <v>-</v>
      </c>
      <c r="N64" s="68" t="str" cm="1">
        <f t="array" ref="N64">IF(Table1[[#This Row],[Total Hours]]=0,"-",SUMPRODUCT(Table1[[#This Row],[WK0]:[WK45]], Table1[[#This Row],[Cost Rate]]*IF(COLUMN(Table1[[#This Row],[WK0]:[WK45]])-COLUMN(Table1[[#This Row],[WK0]])&gt;=$D$5, 1+$D$4, 1)))</f>
        <v>-</v>
      </c>
      <c r="O64" s="68"/>
      <c r="P64" s="68"/>
      <c r="Q64" s="47"/>
      <c r="R64" s="52"/>
      <c r="S64" s="69"/>
      <c r="T64" s="69"/>
      <c r="U64" s="69"/>
      <c r="V64" s="69"/>
      <c r="W64" s="69"/>
      <c r="X64" s="69"/>
      <c r="Y64" s="69"/>
      <c r="Z64" s="69"/>
      <c r="AA64" s="69"/>
      <c r="AB64" s="69"/>
      <c r="AC64" s="69"/>
      <c r="AD64" s="69"/>
      <c r="AE64" s="69"/>
      <c r="AF64" s="69"/>
      <c r="AG64" s="69"/>
      <c r="AH64" s="69"/>
      <c r="AI64" s="69"/>
      <c r="AJ64" s="69"/>
      <c r="AK64" s="69"/>
      <c r="AL64" s="69"/>
      <c r="AM64" s="69"/>
      <c r="AN64" s="69"/>
      <c r="AO64" s="69"/>
      <c r="AP64" s="69"/>
      <c r="AQ64" s="69"/>
      <c r="AR64" s="69"/>
      <c r="AS64" s="69"/>
      <c r="AT64" s="99"/>
      <c r="AU64" s="23"/>
      <c r="AV64" s="23"/>
      <c r="AW64" s="23"/>
      <c r="AX64" s="23"/>
      <c r="AY64" s="23"/>
      <c r="AZ64" s="23"/>
      <c r="BA64" s="23"/>
      <c r="BB64" s="23"/>
      <c r="BC64" s="23"/>
      <c r="BD64" s="23"/>
      <c r="BE64" s="23"/>
      <c r="BF64" s="23"/>
      <c r="BG64" s="23"/>
      <c r="BH64" s="23"/>
      <c r="BI64" s="23"/>
      <c r="BJ64" s="23"/>
      <c r="BK64" s="23"/>
    </row>
    <row r="65" spans="3:63" ht="15">
      <c r="C65" s="96" t="s">
        <v>154</v>
      </c>
      <c r="D65" s="56" t="s">
        <v>150</v>
      </c>
      <c r="E65" s="56"/>
      <c r="F65" s="24" t="s">
        <v>122</v>
      </c>
      <c r="G65" s="56"/>
      <c r="H65" s="23" t="s">
        <v>155</v>
      </c>
      <c r="I65" s="57">
        <f t="shared" ref="I65:I69" si="41">SUM(R65:BK65)</f>
        <v>48</v>
      </c>
      <c r="J65" s="58">
        <f>IFERROR(VLOOKUP(D65,Rates!$A$2:$C$26,3,TRUE),"-")</f>
        <v>445</v>
      </c>
      <c r="K65" s="59">
        <f>J65</f>
        <v>445</v>
      </c>
      <c r="L65" s="58">
        <f>IFERROR(VLOOKUP(D65,Rates!$A$2:$C$26,2,TRUE),"-")</f>
        <v>404.15451989298754</v>
      </c>
      <c r="M65" s="58" cm="1">
        <f t="array" ref="M65">IF(Table1[[#This Row],[Total Hours]]=0,"-",SUMPRODUCT(Table1[[#This Row],[WK0]:[WK45]], Table1[[#This Row],[Bill Rate]]*IF(COLUMN(Table1[[#This Row],[WK0]:[WK45]])-COLUMN(Table1[[#This Row],[WK0]])&gt;=$D$5, 1+$D$4, 1)))</f>
        <v>21360</v>
      </c>
      <c r="N65" s="58" cm="1">
        <f t="array" ref="N65">IF(Table1[[#This Row],[Total Hours]]=0,"-",SUMPRODUCT(Table1[[#This Row],[WK0]:[WK45]], Table1[[#This Row],[Cost Rate]]*IF(COLUMN(Table1[[#This Row],[WK0]:[WK45]])-COLUMN(Table1[[#This Row],[WK0]])&gt;=$D$5, 1+$D$4, 1)))</f>
        <v>19399.416954863402</v>
      </c>
      <c r="O65" s="60">
        <f t="shared" si="3"/>
        <v>9.1787595746095421E-2</v>
      </c>
      <c r="P65" s="60">
        <f t="shared" si="4"/>
        <v>0</v>
      </c>
      <c r="Q65" s="53">
        <f>IFERROR(M65/$B$7,0)</f>
        <v>3.2826994362855086E-3</v>
      </c>
      <c r="R65" s="48"/>
      <c r="S65" s="23">
        <v>4</v>
      </c>
      <c r="T65" s="23">
        <v>4</v>
      </c>
      <c r="U65" s="23">
        <v>4</v>
      </c>
      <c r="V65" s="23">
        <v>4</v>
      </c>
      <c r="W65" s="23">
        <v>4</v>
      </c>
      <c r="X65" s="23">
        <v>4</v>
      </c>
      <c r="Y65" s="23">
        <v>4</v>
      </c>
      <c r="Z65" s="23">
        <v>4</v>
      </c>
      <c r="AA65" s="23">
        <v>4</v>
      </c>
      <c r="AB65" s="23">
        <v>4</v>
      </c>
      <c r="AC65" s="23">
        <v>4</v>
      </c>
      <c r="AD65" s="23">
        <v>4</v>
      </c>
      <c r="AE65" s="23"/>
      <c r="AF65" s="23"/>
      <c r="AG65" s="23"/>
      <c r="AH65" s="23"/>
      <c r="AI65" s="23"/>
      <c r="AJ65" s="23"/>
      <c r="AK65" s="23"/>
      <c r="AL65" s="23"/>
      <c r="AM65" s="23"/>
      <c r="AN65" s="23"/>
      <c r="AO65" s="23"/>
      <c r="AP65" s="23"/>
      <c r="AQ65" s="23"/>
      <c r="AR65" s="23"/>
      <c r="AS65" s="23"/>
      <c r="AT65" s="97"/>
      <c r="AU65" s="23"/>
      <c r="AV65" s="23"/>
      <c r="AW65" s="23"/>
      <c r="AX65" s="23"/>
      <c r="AY65" s="23"/>
      <c r="AZ65" s="23"/>
      <c r="BA65" s="23"/>
      <c r="BB65" s="23"/>
      <c r="BC65" s="23"/>
      <c r="BD65" s="23"/>
      <c r="BE65" s="23"/>
      <c r="BF65" s="23"/>
      <c r="BG65" s="23"/>
      <c r="BH65" s="23"/>
      <c r="BI65" s="23"/>
      <c r="BJ65" s="23"/>
      <c r="BK65" s="23"/>
    </row>
    <row r="66" spans="3:63" ht="15">
      <c r="C66" s="96" t="s">
        <v>138</v>
      </c>
      <c r="D66" s="56" t="s">
        <v>119</v>
      </c>
      <c r="E66" s="56"/>
      <c r="F66" s="24" t="s">
        <v>122</v>
      </c>
      <c r="G66" s="56"/>
      <c r="H66" s="23" t="s">
        <v>155</v>
      </c>
      <c r="I66" s="57">
        <f t="shared" si="41"/>
        <v>192</v>
      </c>
      <c r="J66" s="58">
        <f>IFERROR(VLOOKUP(D66,Rates!$A$2:$C$26,3,TRUE),"-")</f>
        <v>400</v>
      </c>
      <c r="K66" s="59">
        <f>J66</f>
        <v>400</v>
      </c>
      <c r="L66" s="58">
        <f>IFERROR(VLOOKUP(D66,Rates!$A$2:$C$26,2,TRUE),"-")</f>
        <v>256.15021150776352</v>
      </c>
      <c r="M66" s="58" cm="1">
        <f t="array" ref="M66">IF(Table1[[#This Row],[Total Hours]]=0,"-",SUMPRODUCT(Table1[[#This Row],[WK0]:[WK45]], Table1[[#This Row],[Bill Rate]]*IF(COLUMN(Table1[[#This Row],[WK0]:[WK45]])-COLUMN(Table1[[#This Row],[WK0]])&gt;=$D$5, 1+$D$4, 1)))</f>
        <v>76800</v>
      </c>
      <c r="N66" s="58" cm="1">
        <f t="array" ref="N66">IF(Table1[[#This Row],[Total Hours]]=0,"-",SUMPRODUCT(Table1[[#This Row],[WK0]:[WK45]], Table1[[#This Row],[Cost Rate]]*IF(COLUMN(Table1[[#This Row],[WK0]:[WK45]])-COLUMN(Table1[[#This Row],[WK0]])&gt;=$D$5, 1+$D$4, 1)))</f>
        <v>49180.840609490609</v>
      </c>
      <c r="O66" s="60">
        <f t="shared" si="3"/>
        <v>0.35962447123059105</v>
      </c>
      <c r="P66" s="60">
        <f t="shared" si="4"/>
        <v>0</v>
      </c>
      <c r="Q66" s="53">
        <f>IFERROR(M66/$B$7,0)</f>
        <v>1.1802964265296211E-2</v>
      </c>
      <c r="R66" s="48"/>
      <c r="S66" s="23">
        <v>16</v>
      </c>
      <c r="T66" s="23">
        <v>16</v>
      </c>
      <c r="U66" s="23">
        <v>16</v>
      </c>
      <c r="V66" s="23">
        <v>16</v>
      </c>
      <c r="W66" s="23">
        <v>16</v>
      </c>
      <c r="X66" s="23">
        <v>16</v>
      </c>
      <c r="Y66" s="23">
        <v>16</v>
      </c>
      <c r="Z66" s="23">
        <v>16</v>
      </c>
      <c r="AA66" s="23">
        <v>16</v>
      </c>
      <c r="AB66" s="23">
        <v>16</v>
      </c>
      <c r="AC66" s="23">
        <v>16</v>
      </c>
      <c r="AD66" s="23">
        <v>16</v>
      </c>
      <c r="AE66" s="23"/>
      <c r="AF66" s="23"/>
      <c r="AG66" s="23"/>
      <c r="AH66" s="23"/>
      <c r="AI66" s="23"/>
      <c r="AJ66" s="23"/>
      <c r="AK66" s="23"/>
      <c r="AL66" s="23"/>
      <c r="AM66" s="23"/>
      <c r="AN66" s="23"/>
      <c r="AO66" s="23"/>
      <c r="AP66" s="23"/>
      <c r="AQ66" s="23"/>
      <c r="AR66" s="23"/>
      <c r="AS66" s="23"/>
      <c r="AT66" s="97"/>
      <c r="AU66" s="23"/>
      <c r="AV66" s="23"/>
      <c r="AW66" s="23"/>
      <c r="AX66" s="23"/>
      <c r="AY66" s="23"/>
      <c r="AZ66" s="23"/>
      <c r="BA66" s="23"/>
      <c r="BB66" s="23"/>
      <c r="BC66" s="23"/>
      <c r="BD66" s="23"/>
      <c r="BE66" s="23"/>
      <c r="BF66" s="23"/>
      <c r="BG66" s="23"/>
      <c r="BH66" s="23"/>
      <c r="BI66" s="23"/>
      <c r="BJ66" s="23"/>
      <c r="BK66" s="23"/>
    </row>
    <row r="67" spans="3:63" ht="15">
      <c r="C67" s="96"/>
      <c r="D67" s="56"/>
      <c r="E67" s="56"/>
      <c r="F67" s="24"/>
      <c r="G67" s="56"/>
      <c r="H67" s="23"/>
      <c r="I67" s="57">
        <f t="shared" si="41"/>
        <v>0</v>
      </c>
      <c r="J67" s="58" t="str">
        <f>IFERROR(VLOOKUP(D67,Rates!$A$2:$C$26,3,TRUE),"-")</f>
        <v>-</v>
      </c>
      <c r="K67" s="59" t="str">
        <f>J67</f>
        <v>-</v>
      </c>
      <c r="L67" s="58" t="str">
        <f>IFERROR(VLOOKUP(D67,Rates!$A$2:$C$26,2,TRUE),"-")</f>
        <v>-</v>
      </c>
      <c r="M67" s="58" t="str" cm="1">
        <f t="array" ref="M67">IF(Table1[[#This Row],[Total Hours]]=0,"-",SUMPRODUCT(Table1[[#This Row],[WK0]:[WK45]], Table1[[#This Row],[Bill Rate]]*IF(COLUMN(Table1[[#This Row],[WK0]:[WK45]])-COLUMN(Table1[[#This Row],[WK0]])&gt;=$D$5, 1+$D$4, 1)))</f>
        <v>-</v>
      </c>
      <c r="N67" s="58" t="str" cm="1">
        <f t="array" ref="N67">IF(Table1[[#This Row],[Total Hours]]=0,"-",SUMPRODUCT(Table1[[#This Row],[WK0]:[WK45]], Table1[[#This Row],[Cost Rate]]*IF(COLUMN(Table1[[#This Row],[WK0]:[WK45]])-COLUMN(Table1[[#This Row],[WK0]])&gt;=$D$5, 1+$D$4, 1)))</f>
        <v>-</v>
      </c>
      <c r="O67" s="60" t="str">
        <f t="shared" si="3"/>
        <v>-</v>
      </c>
      <c r="P67" s="60">
        <f t="shared" si="4"/>
        <v>0</v>
      </c>
      <c r="Q67" s="53">
        <f>IFERROR(M67/$B$7,0)</f>
        <v>0</v>
      </c>
      <c r="R67" s="48"/>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97"/>
      <c r="AU67" s="23"/>
      <c r="AV67" s="23"/>
      <c r="AW67" s="23"/>
      <c r="AX67" s="23"/>
      <c r="AY67" s="23"/>
      <c r="AZ67" s="23"/>
      <c r="BA67" s="23"/>
      <c r="BB67" s="23"/>
      <c r="BC67" s="23"/>
      <c r="BD67" s="23"/>
      <c r="BE67" s="23"/>
      <c r="BF67" s="23"/>
      <c r="BG67" s="23"/>
      <c r="BH67" s="23"/>
      <c r="BI67" s="23"/>
      <c r="BJ67" s="23"/>
      <c r="BK67" s="23"/>
    </row>
    <row r="68" spans="3:63" ht="15">
      <c r="C68" s="96"/>
      <c r="D68" s="56"/>
      <c r="E68" s="56"/>
      <c r="F68" s="24"/>
      <c r="G68" s="56"/>
      <c r="H68" s="23"/>
      <c r="I68" s="57">
        <f t="shared" si="41"/>
        <v>0</v>
      </c>
      <c r="J68" s="58" t="str">
        <f>IFERROR(VLOOKUP(D68,Rates!$A$2:$C$26,3,TRUE),"-")</f>
        <v>-</v>
      </c>
      <c r="K68" s="59" t="str">
        <f>J68</f>
        <v>-</v>
      </c>
      <c r="L68" s="58" t="str">
        <f>IFERROR(VLOOKUP(D68,Rates!$A$2:$C$26,2,TRUE),"-")</f>
        <v>-</v>
      </c>
      <c r="M68" s="58" t="str" cm="1">
        <f t="array" ref="M68">IF(Table1[[#This Row],[Total Hours]]=0,"-",SUMPRODUCT(Table1[[#This Row],[WK0]:[WK45]], Table1[[#This Row],[Bill Rate]]*IF(COLUMN(Table1[[#This Row],[WK0]:[WK45]])-COLUMN(Table1[[#This Row],[WK0]])&gt;=$D$5, 1+$D$4, 1)))</f>
        <v>-</v>
      </c>
      <c r="N68" s="58" t="str" cm="1">
        <f t="array" ref="N68">IF(Table1[[#This Row],[Total Hours]]=0,"-",SUMPRODUCT(Table1[[#This Row],[WK0]:[WK45]], Table1[[#This Row],[Cost Rate]]*IF(COLUMN(Table1[[#This Row],[WK0]:[WK45]])-COLUMN(Table1[[#This Row],[WK0]])&gt;=$D$5, 1+$D$4, 1)))</f>
        <v>-</v>
      </c>
      <c r="O68" s="60" t="str">
        <f t="shared" si="3"/>
        <v>-</v>
      </c>
      <c r="P68" s="60">
        <f t="shared" si="4"/>
        <v>0</v>
      </c>
      <c r="Q68" s="53">
        <f>IFERROR(M68/$B$7,0)</f>
        <v>0</v>
      </c>
      <c r="R68" s="48"/>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97"/>
      <c r="AU68" s="23"/>
      <c r="AV68" s="23"/>
      <c r="AW68" s="23"/>
      <c r="AX68" s="23"/>
      <c r="AY68" s="23"/>
      <c r="AZ68" s="23"/>
      <c r="BA68" s="23"/>
      <c r="BB68" s="23"/>
      <c r="BC68" s="23"/>
      <c r="BD68" s="23"/>
      <c r="BE68" s="23"/>
      <c r="BF68" s="23"/>
      <c r="BG68" s="23"/>
      <c r="BH68" s="23"/>
      <c r="BI68" s="23"/>
      <c r="BJ68" s="23"/>
      <c r="BK68" s="23"/>
    </row>
    <row r="69" spans="3:63" ht="15">
      <c r="C69" s="106"/>
      <c r="D69" s="107"/>
      <c r="E69" s="107"/>
      <c r="F69" s="107"/>
      <c r="G69" s="107"/>
      <c r="H69" s="108"/>
      <c r="I69" s="57">
        <f t="shared" si="41"/>
        <v>0</v>
      </c>
      <c r="J69" s="109" t="str">
        <f>IFERROR(VLOOKUP(D69,Rates!$A$2:$C$26,3,TRUE),"-")</f>
        <v>-</v>
      </c>
      <c r="K69" s="110" t="str">
        <f>J69</f>
        <v>-</v>
      </c>
      <c r="L69" s="109" t="str">
        <f>IFERROR(VLOOKUP(D69,Rates!$A$2:$C$26,2,TRUE),"-")</f>
        <v>-</v>
      </c>
      <c r="M69" s="58" t="str" cm="1">
        <f t="array" ref="M69">IF(Table1[[#This Row],[Total Hours]]=0,"-",SUMPRODUCT(Table1[[#This Row],[WK0]:[WK45]], Table1[[#This Row],[Bill Rate]]*IF(COLUMN(Table1[[#This Row],[WK0]:[WK45]])-COLUMN(Table1[[#This Row],[WK0]])&gt;=$D$5, 1+$D$4, 1)))</f>
        <v>-</v>
      </c>
      <c r="N69" s="58" t="str" cm="1">
        <f t="array" ref="N69">IF(Table1[[#This Row],[Total Hours]]=0,"-",SUMPRODUCT(Table1[[#This Row],[WK0]:[WK45]], Table1[[#This Row],[Cost Rate]]*IF(COLUMN(Table1[[#This Row],[WK0]:[WK45]])-COLUMN(Table1[[#This Row],[WK0]])&gt;=$D$5, 1+$D$4, 1)))</f>
        <v>-</v>
      </c>
      <c r="O69" s="111" t="str">
        <f t="shared" si="3"/>
        <v>-</v>
      </c>
      <c r="P69" s="111">
        <f t="shared" si="4"/>
        <v>0</v>
      </c>
      <c r="Q69" s="112">
        <f>IFERROR(M69/$B$7,0)</f>
        <v>0</v>
      </c>
      <c r="R69" s="113"/>
      <c r="S69" s="108"/>
      <c r="T69" s="108"/>
      <c r="U69" s="108"/>
      <c r="V69" s="108"/>
      <c r="W69" s="108"/>
      <c r="X69" s="108"/>
      <c r="Y69" s="108"/>
      <c r="Z69" s="108"/>
      <c r="AA69" s="108"/>
      <c r="AB69" s="108"/>
      <c r="AC69" s="108"/>
      <c r="AD69" s="108"/>
      <c r="AE69" s="108"/>
      <c r="AF69" s="108"/>
      <c r="AG69" s="108"/>
      <c r="AH69" s="108"/>
      <c r="AI69" s="108"/>
      <c r="AJ69" s="108"/>
      <c r="AK69" s="108"/>
      <c r="AL69" s="108"/>
      <c r="AM69" s="108"/>
      <c r="AN69" s="108"/>
      <c r="AO69" s="108"/>
      <c r="AP69" s="108"/>
      <c r="AQ69" s="108"/>
      <c r="AR69" s="108"/>
      <c r="AS69" s="114"/>
      <c r="AT69" s="114"/>
      <c r="AU69" s="23"/>
      <c r="AV69" s="23"/>
      <c r="AW69" s="23"/>
      <c r="AX69" s="23"/>
      <c r="AY69" s="23"/>
      <c r="AZ69" s="23"/>
      <c r="BA69" s="23"/>
      <c r="BB69" s="23"/>
      <c r="BC69" s="23"/>
      <c r="BD69" s="23"/>
      <c r="BE69" s="23"/>
      <c r="BF69" s="23"/>
      <c r="BG69" s="23"/>
      <c r="BH69" s="23"/>
      <c r="BI69" s="23"/>
      <c r="BJ69" s="23"/>
      <c r="BK69" s="23"/>
    </row>
    <row r="70" spans="3:63" ht="15">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row>
    <row r="71" spans="3:63" ht="15">
      <c r="C71" s="8"/>
      <c r="D71" s="8"/>
      <c r="E71" s="9"/>
      <c r="F71" s="9"/>
      <c r="G71" s="4"/>
      <c r="H71" s="9"/>
      <c r="I71" s="4"/>
      <c r="J71" s="4"/>
      <c r="K71" s="4"/>
      <c r="L71" s="10"/>
      <c r="M71" s="5"/>
      <c r="N71" s="5"/>
      <c r="O71" s="27"/>
      <c r="P71" s="5"/>
      <c r="Q71" s="27"/>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row>
    <row r="72" spans="3:63" ht="15">
      <c r="C72" s="8"/>
      <c r="I72" s="4"/>
      <c r="J72" s="4"/>
      <c r="K72" s="4"/>
      <c r="M72" s="5"/>
      <c r="N72" s="5"/>
      <c r="O72" s="5"/>
      <c r="P72" s="5"/>
      <c r="Q72" s="27"/>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row>
    <row r="73" spans="3:63" ht="15">
      <c r="I73" s="7"/>
      <c r="J73" s="7"/>
    </row>
    <row r="74" spans="3:63" ht="15">
      <c r="I74" s="7"/>
      <c r="J74" s="7"/>
      <c r="T74"/>
    </row>
    <row r="75" spans="3:63" ht="15"/>
    <row r="78" spans="3:63" ht="15"/>
    <row r="79" spans="3:63" ht="15"/>
    <row r="80" spans="3:63" ht="15"/>
    <row r="81" ht="15"/>
    <row r="82" ht="15"/>
    <row r="83" ht="15"/>
    <row r="84" ht="15"/>
    <row r="85" ht="15"/>
  </sheetData>
  <mergeCells count="10">
    <mergeCell ref="S17:T17"/>
    <mergeCell ref="C14:D14"/>
    <mergeCell ref="C15:D15"/>
    <mergeCell ref="E14:I14"/>
    <mergeCell ref="E15:I15"/>
    <mergeCell ref="U17:V17"/>
    <mergeCell ref="W17:X17"/>
    <mergeCell ref="Y17:Z17"/>
    <mergeCell ref="AA17:AB17"/>
    <mergeCell ref="AC17:AD17"/>
  </mergeCells>
  <phoneticPr fontId="15" type="noConversion"/>
  <conditionalFormatting sqref="B6">
    <cfRule type="cellIs" dxfId="142" priority="10" operator="equal">
      <formula>"-"</formula>
    </cfRule>
    <cfRule type="cellIs" dxfId="141" priority="11" operator="greaterThan">
      <formula>0.0000001</formula>
    </cfRule>
    <cfRule type="cellIs" dxfId="140" priority="12" operator="lessThan">
      <formula>-0.00000001</formula>
    </cfRule>
  </conditionalFormatting>
  <conditionalFormatting sqref="D7">
    <cfRule type="cellIs" dxfId="139" priority="2" operator="equal">
      <formula>0</formula>
    </cfRule>
    <cfRule type="cellIs" dxfId="138" priority="3" operator="greaterThan">
      <formula>0</formula>
    </cfRule>
    <cfRule type="cellIs" dxfId="137" priority="4" operator="lessThan">
      <formula>0</formula>
    </cfRule>
  </conditionalFormatting>
  <conditionalFormatting sqref="O20:O25 O27 O29:O35 O37:O49 O51:O58 O60:O63 O65:O69">
    <cfRule type="cellIs" dxfId="136" priority="5" operator="equal">
      <formula>0</formula>
    </cfRule>
  </conditionalFormatting>
  <conditionalFormatting sqref="O65:O69 O20:O25 O27 O37:O49 O51:O58 O60:O63 O29:O35">
    <cfRule type="colorScale" priority="6">
      <colorScale>
        <cfvo type="min"/>
        <cfvo type="percentile" val="50"/>
        <cfvo type="max"/>
        <color rgb="FFF8696B"/>
        <color rgb="FFFFEB84"/>
        <color rgb="FF63BE7B"/>
      </colorScale>
    </cfRule>
  </conditionalFormatting>
  <conditionalFormatting sqref="P20:P25 P27 P29:P35 P37:P49 P51:P58 P60:P63 P65:P69">
    <cfRule type="cellIs" dxfId="135" priority="7" operator="greaterThan">
      <formula>0</formula>
    </cfRule>
  </conditionalFormatting>
  <dataValidations disablePrompts="1" count="3">
    <dataValidation type="list" allowBlank="1" showInputMessage="1" showErrorMessage="1" sqref="G65:G69 G20:G25 G27 G37:G49 G51:G58 G60:G63 G29:G35" xr:uid="{A3D8716E-7573-4EC2-9C2B-13FB243CAEC3}">
      <formula1>"FTE,Partner"</formula1>
    </dataValidation>
    <dataValidation type="list" allowBlank="1" showInputMessage="1" showErrorMessage="1" sqref="E20:E25 E65:E69 E27 E29:E35 E51:E58 E60:E63 E37:E49" xr:uid="{B5ED9AA0-3FA0-47D2-AC1E-402723D4812A}">
      <formula1>_xlfn.XLOOKUP(D20,RoleNames,RoleNameSource)</formula1>
    </dataValidation>
    <dataValidation type="list" allowBlank="1" showInputMessage="1" showErrorMessage="1" sqref="G20:G25 G65:G69 G27 G37:G49 G51:G58 G60:G63 G29:G35" xr:uid="{35A644CB-2D9C-4870-A372-6A2E87F158A0}">
      <formula1>_xlfn.XLOOKUP(E20,RoleNames,RoleNameSource)</formula1>
    </dataValidation>
  </dataValidations>
  <hyperlinks>
    <hyperlink ref="E14" r:id="rId1" display="https://apps.powerapps.com/play/e/9c331628-968f-e055-9ca7-99aabd670808/a/8146be04-0344-480c-9b44-4e421fb56ce6?tenantId=72f988bf-86f1-41af-91ab-2d7cd011db47&amp;amp;hint=484515ee-7a7c-4539-9d8f-44ecba3fa055&amp;amp;sourcetime=1704257217097&amp;amp;source=portal&amp;source=teamsLinkUnfurling" xr:uid="{7A1F5E1A-F76F-4BBD-A67B-24D0B7F48ED1}"/>
    <hyperlink ref="E15:I15" r:id="rId2" display="Compliance Security Estimator" xr:uid="{0A66B3AD-84B8-4BBA-99B9-8C698708AA85}"/>
  </hyperlinks>
  <pageMargins left="0.7" right="0.7" top="0.75" bottom="0.75" header="0.3" footer="0.3"/>
  <pageSetup orientation="portrait" r:id="rId3"/>
  <legacyDrawing r:id="rId4"/>
  <tableParts count="1">
    <tablePart r:id="rId5"/>
  </tableParts>
  <extLst>
    <ext xmlns:x14="http://schemas.microsoft.com/office/spreadsheetml/2009/9/main" uri="{78C0D931-6437-407d-A8EE-F0AAD7539E65}">
      <x14:conditionalFormattings>
        <x14:conditionalFormatting xmlns:xm="http://schemas.microsoft.com/office/excel/2006/main">
          <x14:cfRule type="expression" priority="1" id="{93E0C121-4908-4AA0-A93F-5B32E78C0296}">
            <xm:f>WBS!N4&gt;F7</xm:f>
            <x14:dxf>
              <fill>
                <patternFill>
                  <bgColor rgb="FFFF0000"/>
                </patternFill>
              </fill>
            </x14:dxf>
          </x14:cfRule>
          <xm:sqref>F7:F11</xm:sqref>
        </x14:conditionalFormatting>
        <x14:conditionalFormatting xmlns:xm="http://schemas.microsoft.com/office/excel/2006/main">
          <x14:cfRule type="iconSet" priority="8" id="{A633A6DE-1DB1-41DE-9EFB-A80EE874378A}">
            <x14:iconSet iconSet="4ArrowsGray" custom="1">
              <x14:cfvo type="percent">
                <xm:f>0</xm:f>
              </x14:cfvo>
              <x14:cfvo type="percent">
                <xm:f>25</xm:f>
              </x14:cfvo>
              <x14:cfvo type="percent">
                <xm:f>50</xm:f>
              </x14:cfvo>
              <x14:cfvo type="percent">
                <xm:f>75</xm:f>
              </x14:cfvo>
              <x14:cfIcon iconSet="3ArrowsGray" iconId="0"/>
              <x14:cfIcon iconSet="4ArrowsGray" iconId="1"/>
              <x14:cfIcon iconSet="4ArrowsGray" iconId="2"/>
              <x14:cfIcon iconSet="3ArrowsGray" iconId="2"/>
            </x14:iconSet>
          </x14:cfRule>
          <xm:sqref>O65:O69 O20:O25 O27 O37:O49 O51:O58 O60:O63 O29:O35</xm:sqref>
        </x14:conditionalFormatting>
      </x14:conditionalFormattings>
    </ext>
    <ext xmlns:x14="http://schemas.microsoft.com/office/spreadsheetml/2009/9/main" uri="{CCE6A557-97BC-4b89-ADB6-D9C93CAAB3DF}">
      <x14:dataValidations xmlns:xm="http://schemas.microsoft.com/office/excel/2006/main" disablePrompts="1" count="3">
        <x14:dataValidation type="list" allowBlank="1" showInputMessage="1" showErrorMessage="1" xr:uid="{5DD14A18-58AC-49DF-8F55-3E72B9BBCB6B}">
          <x14:formula1>
            <xm:f>Rates!$A$2:$A$26</xm:f>
          </x14:formula1>
          <xm:sqref>D20:D25 D65:D69 D27 D60:D63 D51:D58 D29:D35 D37:D49</xm:sqref>
        </x14:dataValidation>
        <x14:dataValidation type="list" allowBlank="1" showInputMessage="1" showErrorMessage="1" xr:uid="{559E363C-24C9-44E6-A31D-D6F3BBAF0883}">
          <x14:formula1>
            <xm:f>SkillList!$A$1:$A$1174</xm:f>
          </x14:formula1>
          <xm:sqref>D82:D83</xm:sqref>
        </x14:dataValidation>
        <x14:dataValidation type="list" allowBlank="1" showInputMessage="1" showErrorMessage="1" xr:uid="{D952A764-EF6B-4077-88EB-C6E874286DFC}">
          <x14:formula1>
            <xm:f>Helper3!$A$2:$A$34</xm:f>
          </x14:formula1>
          <xm:sqref>F20:F25 F65:F69 F27 F60:F63 F51:F58 F37:F49 F29:F35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870ED-EE8E-4744-8BE0-2636893E2C96}">
  <dimension ref="B2:H109"/>
  <sheetViews>
    <sheetView topLeftCell="A39" workbookViewId="0">
      <selection activeCell="D8" sqref="D8"/>
    </sheetView>
  </sheetViews>
  <sheetFormatPr defaultRowHeight="14.45"/>
  <cols>
    <col min="2" max="2" width="126.5703125" customWidth="1"/>
  </cols>
  <sheetData>
    <row r="2" spans="2:2" ht="15.6">
      <c r="B2" s="123" t="s">
        <v>156</v>
      </c>
    </row>
    <row r="3" spans="2:2">
      <c r="B3" s="121" t="s">
        <v>157</v>
      </c>
    </row>
    <row r="4" spans="2:2">
      <c r="B4" s="120" t="s">
        <v>158</v>
      </c>
    </row>
    <row r="5" spans="2:2">
      <c r="B5" s="121" t="s">
        <v>159</v>
      </c>
    </row>
    <row r="6" spans="2:2">
      <c r="B6" s="120" t="s">
        <v>160</v>
      </c>
    </row>
    <row r="7" spans="2:2">
      <c r="B7" s="121" t="s">
        <v>161</v>
      </c>
    </row>
    <row r="8" spans="2:2">
      <c r="B8" s="121" t="s">
        <v>162</v>
      </c>
    </row>
    <row r="9" spans="2:2">
      <c r="B9" s="120" t="s">
        <v>163</v>
      </c>
    </row>
    <row r="10" spans="2:2">
      <c r="B10" s="121" t="s">
        <v>164</v>
      </c>
    </row>
    <row r="11" spans="2:2">
      <c r="B11" s="120" t="s">
        <v>165</v>
      </c>
    </row>
    <row r="12" spans="2:2">
      <c r="B12" s="121" t="s">
        <v>166</v>
      </c>
    </row>
    <row r="13" spans="2:2">
      <c r="B13" s="121" t="s">
        <v>167</v>
      </c>
    </row>
    <row r="14" spans="2:2">
      <c r="B14" s="120" t="s">
        <v>168</v>
      </c>
    </row>
    <row r="15" spans="2:2">
      <c r="B15" s="120" t="s">
        <v>169</v>
      </c>
    </row>
    <row r="16" spans="2:2">
      <c r="B16" s="120" t="s">
        <v>170</v>
      </c>
    </row>
    <row r="17" spans="2:2">
      <c r="B17" s="120" t="s">
        <v>171</v>
      </c>
    </row>
    <row r="18" spans="2:2">
      <c r="B18" s="120" t="s">
        <v>172</v>
      </c>
    </row>
    <row r="19" spans="2:2">
      <c r="B19" s="121" t="s">
        <v>173</v>
      </c>
    </row>
    <row r="20" spans="2:2">
      <c r="B20" s="120" t="s">
        <v>174</v>
      </c>
    </row>
    <row r="21" spans="2:2">
      <c r="B21" s="120" t="s">
        <v>175</v>
      </c>
    </row>
    <row r="22" spans="2:2">
      <c r="B22" s="120" t="s">
        <v>176</v>
      </c>
    </row>
    <row r="23" spans="2:2">
      <c r="B23" s="120" t="s">
        <v>177</v>
      </c>
    </row>
    <row r="24" spans="2:2">
      <c r="B24" s="121" t="s">
        <v>178</v>
      </c>
    </row>
    <row r="25" spans="2:2">
      <c r="B25" s="120" t="s">
        <v>179</v>
      </c>
    </row>
    <row r="26" spans="2:2">
      <c r="B26" s="120" t="s">
        <v>180</v>
      </c>
    </row>
    <row r="27" spans="2:2">
      <c r="B27" s="120" t="s">
        <v>181</v>
      </c>
    </row>
    <row r="28" spans="2:2">
      <c r="B28" s="120" t="s">
        <v>182</v>
      </c>
    </row>
    <row r="29" spans="2:2">
      <c r="B29" s="121" t="s">
        <v>183</v>
      </c>
    </row>
    <row r="30" spans="2:2">
      <c r="B30" s="120" t="s">
        <v>184</v>
      </c>
    </row>
    <row r="31" spans="2:2">
      <c r="B31" s="120" t="s">
        <v>185</v>
      </c>
    </row>
    <row r="32" spans="2:2">
      <c r="B32" s="120" t="s">
        <v>186</v>
      </c>
    </row>
    <row r="33" spans="2:2">
      <c r="B33" s="121" t="s">
        <v>187</v>
      </c>
    </row>
    <row r="34" spans="2:2">
      <c r="B34" s="120" t="s">
        <v>188</v>
      </c>
    </row>
    <row r="35" spans="2:2">
      <c r="B35" s="120" t="s">
        <v>189</v>
      </c>
    </row>
    <row r="36" spans="2:2">
      <c r="B36" s="120" t="s">
        <v>190</v>
      </c>
    </row>
    <row r="37" spans="2:2">
      <c r="B37" s="121" t="s">
        <v>191</v>
      </c>
    </row>
    <row r="38" spans="2:2">
      <c r="B38" s="120" t="s">
        <v>192</v>
      </c>
    </row>
    <row r="39" spans="2:2">
      <c r="B39" s="120" t="s">
        <v>193</v>
      </c>
    </row>
    <row r="40" spans="2:2">
      <c r="B40" s="120" t="s">
        <v>194</v>
      </c>
    </row>
    <row r="41" spans="2:2">
      <c r="B41" s="120" t="s">
        <v>195</v>
      </c>
    </row>
    <row r="42" spans="2:2">
      <c r="B42" s="121" t="s">
        <v>196</v>
      </c>
    </row>
    <row r="43" spans="2:2">
      <c r="B43" s="120" t="s">
        <v>197</v>
      </c>
    </row>
    <row r="44" spans="2:2">
      <c r="B44" s="120" t="s">
        <v>198</v>
      </c>
    </row>
    <row r="45" spans="2:2">
      <c r="B45" s="122" t="s">
        <v>199</v>
      </c>
    </row>
    <row r="48" spans="2:2">
      <c r="B48" s="140"/>
    </row>
    <row r="49" spans="2:7">
      <c r="B49" s="181" t="s">
        <v>200</v>
      </c>
      <c r="C49" s="182"/>
      <c r="D49" s="182"/>
      <c r="E49" s="182"/>
      <c r="F49" s="182"/>
      <c r="G49" s="182"/>
    </row>
    <row r="51" spans="2:7" ht="15.6">
      <c r="B51" s="183" t="s">
        <v>201</v>
      </c>
      <c r="C51" s="182"/>
      <c r="D51" s="182"/>
      <c r="E51" s="182"/>
      <c r="F51" s="182"/>
      <c r="G51" s="182"/>
    </row>
    <row r="52" spans="2:7">
      <c r="B52" s="132" t="s">
        <v>202</v>
      </c>
      <c r="C52" s="132" t="s">
        <v>203</v>
      </c>
      <c r="D52" s="132"/>
      <c r="E52" s="132"/>
      <c r="F52" s="132"/>
      <c r="G52" s="132"/>
    </row>
    <row r="53" spans="2:7">
      <c r="B53" s="141" t="s">
        <v>204</v>
      </c>
      <c r="C53" s="142">
        <v>0.2</v>
      </c>
    </row>
    <row r="54" spans="2:7">
      <c r="B54" s="141" t="s">
        <v>205</v>
      </c>
      <c r="C54" s="142">
        <v>0.5</v>
      </c>
    </row>
    <row r="55" spans="2:7">
      <c r="B55" s="141" t="s">
        <v>206</v>
      </c>
      <c r="C55" s="142">
        <v>0.3</v>
      </c>
    </row>
    <row r="56" spans="2:7">
      <c r="B56" s="143" t="s">
        <v>207</v>
      </c>
      <c r="C56" s="144">
        <f>SUM(C53:C55)</f>
        <v>1</v>
      </c>
    </row>
    <row r="58" spans="2:7" ht="15.6">
      <c r="B58" s="183" t="s">
        <v>208</v>
      </c>
      <c r="C58" s="182"/>
      <c r="D58" s="182"/>
      <c r="E58" s="182"/>
      <c r="F58" s="182"/>
      <c r="G58" s="182"/>
    </row>
    <row r="59" spans="2:7" ht="27.6">
      <c r="B59" s="132" t="s">
        <v>209</v>
      </c>
      <c r="C59" s="132" t="s">
        <v>204</v>
      </c>
      <c r="D59" s="132" t="s">
        <v>205</v>
      </c>
      <c r="E59" s="132" t="s">
        <v>206</v>
      </c>
      <c r="F59" s="132" t="s">
        <v>210</v>
      </c>
      <c r="G59" s="132" t="s">
        <v>211</v>
      </c>
    </row>
    <row r="60" spans="2:7">
      <c r="B60" s="141" t="s">
        <v>212</v>
      </c>
      <c r="C60" s="145">
        <v>330</v>
      </c>
      <c r="D60" s="145">
        <v>330</v>
      </c>
      <c r="E60" s="145">
        <v>330</v>
      </c>
      <c r="F60" s="146" t="s">
        <v>213</v>
      </c>
      <c r="G60" s="146" t="s">
        <v>214</v>
      </c>
    </row>
    <row r="61" spans="2:7">
      <c r="B61" s="141" t="s">
        <v>215</v>
      </c>
      <c r="C61" s="145">
        <v>50</v>
      </c>
      <c r="D61" s="145">
        <v>35</v>
      </c>
      <c r="E61" s="145">
        <v>30</v>
      </c>
      <c r="F61" s="146" t="s">
        <v>216</v>
      </c>
      <c r="G61" s="146" t="s">
        <v>217</v>
      </c>
    </row>
    <row r="62" spans="2:7">
      <c r="B62" s="141" t="s">
        <v>218</v>
      </c>
      <c r="C62" s="142">
        <v>0.1</v>
      </c>
      <c r="D62" s="142">
        <v>0.35</v>
      </c>
      <c r="E62" s="142">
        <v>0.8</v>
      </c>
      <c r="F62" s="146" t="s">
        <v>219</v>
      </c>
      <c r="G62" s="146" t="s">
        <v>220</v>
      </c>
    </row>
    <row r="63" spans="2:7">
      <c r="B63" s="141" t="s">
        <v>221</v>
      </c>
      <c r="C63" s="147">
        <v>2.5000000000000001E-2</v>
      </c>
      <c r="D63" s="147">
        <v>1.7999999999999999E-2</v>
      </c>
      <c r="E63" s="147">
        <v>1.2E-2</v>
      </c>
      <c r="F63" s="146" t="s">
        <v>222</v>
      </c>
      <c r="G63" s="146" t="s">
        <v>223</v>
      </c>
    </row>
    <row r="64" spans="2:7">
      <c r="B64" s="141" t="s">
        <v>224</v>
      </c>
      <c r="C64" s="145">
        <v>50</v>
      </c>
      <c r="D64" s="145">
        <v>15</v>
      </c>
      <c r="E64" s="145">
        <v>5</v>
      </c>
      <c r="F64" s="146" t="s">
        <v>225</v>
      </c>
      <c r="G64" s="146" t="s">
        <v>226</v>
      </c>
    </row>
    <row r="66" spans="2:7" ht="15.6">
      <c r="B66" s="183" t="s">
        <v>227</v>
      </c>
      <c r="C66" s="182"/>
      <c r="D66" s="182"/>
      <c r="E66" s="182"/>
      <c r="F66" s="182"/>
      <c r="G66" s="182"/>
    </row>
    <row r="67" spans="2:7" ht="27.6">
      <c r="B67" s="132" t="s">
        <v>228</v>
      </c>
      <c r="C67" s="132" t="s">
        <v>204</v>
      </c>
      <c r="D67" s="132" t="s">
        <v>205</v>
      </c>
      <c r="E67" s="132" t="s">
        <v>206</v>
      </c>
      <c r="F67" s="132" t="s">
        <v>210</v>
      </c>
      <c r="G67" s="132" t="s">
        <v>211</v>
      </c>
    </row>
    <row r="68" spans="2:7">
      <c r="B68" s="141" t="s">
        <v>229</v>
      </c>
      <c r="C68" s="148">
        <v>6</v>
      </c>
      <c r="D68" s="148">
        <v>10</v>
      </c>
      <c r="E68" s="148">
        <v>14</v>
      </c>
      <c r="F68" s="146" t="s">
        <v>230</v>
      </c>
      <c r="G68" s="146" t="s">
        <v>231</v>
      </c>
    </row>
    <row r="69" spans="2:7">
      <c r="B69" s="141" t="s">
        <v>232</v>
      </c>
      <c r="C69" s="148">
        <v>8</v>
      </c>
      <c r="D69" s="148">
        <v>6</v>
      </c>
      <c r="E69" s="148">
        <v>5</v>
      </c>
      <c r="F69" s="146" t="s">
        <v>230</v>
      </c>
      <c r="G69" s="146" t="s">
        <v>233</v>
      </c>
    </row>
    <row r="70" spans="2:7">
      <c r="B70" s="141" t="s">
        <v>234</v>
      </c>
      <c r="C70" s="148">
        <v>18</v>
      </c>
      <c r="D70" s="148">
        <v>10</v>
      </c>
      <c r="E70" s="148">
        <v>5</v>
      </c>
      <c r="F70" s="146" t="s">
        <v>230</v>
      </c>
      <c r="G70" s="146" t="s">
        <v>235</v>
      </c>
    </row>
    <row r="71" spans="2:7">
      <c r="B71" s="141" t="s">
        <v>122</v>
      </c>
      <c r="C71" s="148">
        <v>4</v>
      </c>
      <c r="D71" s="148">
        <v>4</v>
      </c>
      <c r="E71" s="148">
        <v>4</v>
      </c>
      <c r="F71" s="146" t="s">
        <v>230</v>
      </c>
      <c r="G71" s="146" t="s">
        <v>236</v>
      </c>
    </row>
    <row r="72" spans="2:7">
      <c r="B72" s="141" t="s">
        <v>237</v>
      </c>
      <c r="C72" s="148">
        <v>3</v>
      </c>
      <c r="D72" s="148">
        <v>4</v>
      </c>
      <c r="E72" s="148">
        <v>5</v>
      </c>
      <c r="F72" s="146" t="s">
        <v>230</v>
      </c>
      <c r="G72" s="146" t="s">
        <v>238</v>
      </c>
    </row>
    <row r="73" spans="2:7">
      <c r="B73" s="141" t="s">
        <v>239</v>
      </c>
      <c r="C73" s="148">
        <v>5</v>
      </c>
      <c r="D73" s="148">
        <v>4</v>
      </c>
      <c r="E73" s="148">
        <v>3</v>
      </c>
      <c r="F73" s="146" t="s">
        <v>230</v>
      </c>
      <c r="G73" s="146" t="s">
        <v>240</v>
      </c>
    </row>
    <row r="75" spans="2:7" ht="15.6">
      <c r="B75" s="183" t="s">
        <v>241</v>
      </c>
      <c r="C75" s="182"/>
      <c r="D75" s="182"/>
      <c r="E75" s="182"/>
      <c r="F75" s="182"/>
      <c r="G75" s="182"/>
    </row>
    <row r="76" spans="2:7" ht="41.45">
      <c r="B76" s="132" t="s">
        <v>242</v>
      </c>
      <c r="C76" s="132" t="s">
        <v>243</v>
      </c>
      <c r="D76" s="132" t="s">
        <v>244</v>
      </c>
      <c r="E76" s="132"/>
      <c r="F76" s="132"/>
      <c r="G76" s="132" t="s">
        <v>211</v>
      </c>
    </row>
    <row r="77" spans="2:7">
      <c r="B77" s="141" t="s">
        <v>245</v>
      </c>
      <c r="C77" s="145">
        <v>50000</v>
      </c>
      <c r="D77" s="148">
        <v>400000</v>
      </c>
      <c r="G77" s="146" t="s">
        <v>246</v>
      </c>
    </row>
    <row r="78" spans="2:7">
      <c r="B78" s="141" t="s">
        <v>247</v>
      </c>
      <c r="C78" s="145">
        <v>250000</v>
      </c>
      <c r="D78" s="148">
        <v>700000</v>
      </c>
      <c r="G78" s="146" t="s">
        <v>248</v>
      </c>
    </row>
    <row r="79" spans="2:7">
      <c r="B79" s="141" t="s">
        <v>249</v>
      </c>
      <c r="C79" s="145">
        <v>750000</v>
      </c>
      <c r="D79" s="148">
        <v>1200000</v>
      </c>
      <c r="G79" s="146" t="s">
        <v>250</v>
      </c>
    </row>
    <row r="81" spans="2:8" ht="15.6">
      <c r="B81" s="183" t="s">
        <v>251</v>
      </c>
      <c r="C81" s="182"/>
      <c r="D81" s="182"/>
      <c r="E81" s="182"/>
      <c r="F81" s="182"/>
      <c r="G81" s="182"/>
    </row>
    <row r="82" spans="2:8" ht="41.45">
      <c r="B82" s="132" t="s">
        <v>252</v>
      </c>
      <c r="C82" s="132" t="s">
        <v>253</v>
      </c>
      <c r="D82" s="132" t="s">
        <v>254</v>
      </c>
      <c r="E82" s="132" t="s">
        <v>255</v>
      </c>
      <c r="F82" s="132" t="s">
        <v>256</v>
      </c>
      <c r="G82" s="132" t="s">
        <v>257</v>
      </c>
    </row>
    <row r="83" spans="2:8">
      <c r="B83" s="149">
        <v>2027</v>
      </c>
      <c r="C83" s="145">
        <v>30000</v>
      </c>
      <c r="D83" s="145">
        <v>30000</v>
      </c>
      <c r="E83" s="145">
        <v>0</v>
      </c>
      <c r="F83" s="145">
        <v>0</v>
      </c>
      <c r="G83" s="145">
        <v>0</v>
      </c>
    </row>
    <row r="84" spans="2:8">
      <c r="B84" s="149">
        <v>2028</v>
      </c>
      <c r="C84" s="145">
        <v>510000</v>
      </c>
      <c r="D84" s="145">
        <v>150000</v>
      </c>
      <c r="E84" s="145">
        <v>260000</v>
      </c>
      <c r="F84" s="145">
        <v>100000</v>
      </c>
      <c r="G84" s="145">
        <v>0</v>
      </c>
    </row>
    <row r="85" spans="2:8">
      <c r="B85" s="149">
        <v>2029</v>
      </c>
      <c r="C85" s="145">
        <v>875500</v>
      </c>
      <c r="D85" s="145">
        <v>250000</v>
      </c>
      <c r="E85" s="145">
        <v>500000</v>
      </c>
      <c r="F85" s="145">
        <v>100000</v>
      </c>
      <c r="G85" s="145">
        <v>25500</v>
      </c>
    </row>
    <row r="86" spans="2:8">
      <c r="B86" s="149">
        <v>2030</v>
      </c>
      <c r="C86" s="145">
        <v>1924500</v>
      </c>
      <c r="D86" s="145">
        <v>400000</v>
      </c>
      <c r="E86" s="145">
        <v>750000</v>
      </c>
      <c r="F86" s="145">
        <v>400000</v>
      </c>
      <c r="G86" s="145">
        <v>374500</v>
      </c>
    </row>
    <row r="87" spans="2:8">
      <c r="B87" s="149">
        <v>2031</v>
      </c>
      <c r="C87" s="145">
        <v>2342500</v>
      </c>
      <c r="D87" s="145">
        <v>400000</v>
      </c>
      <c r="E87" s="145">
        <v>750000</v>
      </c>
      <c r="F87" s="145">
        <v>480000</v>
      </c>
      <c r="G87" s="145">
        <v>712500</v>
      </c>
    </row>
    <row r="88" spans="2:8">
      <c r="B88" s="149">
        <v>2032</v>
      </c>
      <c r="C88" s="145">
        <v>2585000</v>
      </c>
      <c r="D88" s="145">
        <v>360000</v>
      </c>
      <c r="E88" s="145">
        <v>750000</v>
      </c>
      <c r="F88" s="145">
        <v>480000</v>
      </c>
      <c r="G88" s="145">
        <v>995000</v>
      </c>
    </row>
    <row r="93" spans="2:8">
      <c r="B93" t="s">
        <v>258</v>
      </c>
    </row>
    <row r="95" spans="2:8">
      <c r="B95" t="s">
        <v>259</v>
      </c>
      <c r="C95" t="s">
        <v>243</v>
      </c>
      <c r="D95" t="s">
        <v>260</v>
      </c>
      <c r="E95" t="s">
        <v>261</v>
      </c>
      <c r="F95" t="s">
        <v>262</v>
      </c>
      <c r="G95" t="s">
        <v>263</v>
      </c>
      <c r="H95" t="s">
        <v>211</v>
      </c>
    </row>
    <row r="96" spans="2:8">
      <c r="B96" t="s">
        <v>245</v>
      </c>
      <c r="C96">
        <v>50000</v>
      </c>
      <c r="D96">
        <v>5587224.9999999991</v>
      </c>
      <c r="E96">
        <v>400000</v>
      </c>
      <c r="F96">
        <v>5987224.9999999991</v>
      </c>
      <c r="G96">
        <v>119.74449999999999</v>
      </c>
      <c r="H96" t="s">
        <v>264</v>
      </c>
    </row>
    <row r="97" spans="2:8">
      <c r="B97" t="s">
        <v>247</v>
      </c>
      <c r="C97">
        <v>250000</v>
      </c>
      <c r="D97">
        <v>27936124.999999996</v>
      </c>
      <c r="E97">
        <v>700000</v>
      </c>
      <c r="F97">
        <v>28636124.999999996</v>
      </c>
      <c r="G97">
        <v>114.54449999999999</v>
      </c>
      <c r="H97" t="s">
        <v>248</v>
      </c>
    </row>
    <row r="98" spans="2:8">
      <c r="B98" t="s">
        <v>249</v>
      </c>
      <c r="C98">
        <v>750000</v>
      </c>
      <c r="D98">
        <v>83808374.999999985</v>
      </c>
      <c r="E98">
        <v>1200000</v>
      </c>
      <c r="F98">
        <v>85008374.999999985</v>
      </c>
      <c r="G98">
        <v>113.34449999999998</v>
      </c>
      <c r="H98" t="s">
        <v>265</v>
      </c>
    </row>
    <row r="101" spans="2:8">
      <c r="B101" t="s">
        <v>266</v>
      </c>
    </row>
    <row r="102" spans="2:8">
      <c r="B102" t="s">
        <v>228</v>
      </c>
      <c r="C102" t="s">
        <v>267</v>
      </c>
      <c r="D102" t="s">
        <v>245</v>
      </c>
      <c r="E102" t="s">
        <v>247</v>
      </c>
      <c r="F102" t="s">
        <v>249</v>
      </c>
      <c r="G102" t="s">
        <v>268</v>
      </c>
    </row>
    <row r="103" spans="2:8">
      <c r="B103" t="s">
        <v>229</v>
      </c>
      <c r="C103">
        <v>10.4</v>
      </c>
      <c r="D103">
        <v>520000</v>
      </c>
      <c r="E103">
        <v>2600000</v>
      </c>
      <c r="F103">
        <v>7800000</v>
      </c>
      <c r="G103">
        <v>9.3069457557195229E-2</v>
      </c>
    </row>
    <row r="104" spans="2:8">
      <c r="B104" t="s">
        <v>269</v>
      </c>
      <c r="C104">
        <v>79.244499999999988</v>
      </c>
      <c r="D104">
        <v>3962224.9999999995</v>
      </c>
      <c r="E104">
        <v>19811124.999999996</v>
      </c>
      <c r="F104">
        <v>59433374.999999993</v>
      </c>
      <c r="G104">
        <v>0.70915794513376496</v>
      </c>
    </row>
    <row r="105" spans="2:8">
      <c r="B105" t="s">
        <v>234</v>
      </c>
      <c r="C105">
        <v>10.1</v>
      </c>
      <c r="D105">
        <v>505000</v>
      </c>
      <c r="E105">
        <v>2525000</v>
      </c>
      <c r="F105">
        <v>7575000</v>
      </c>
      <c r="G105">
        <v>9.0384761666122276E-2</v>
      </c>
    </row>
    <row r="106" spans="2:8">
      <c r="B106" t="s">
        <v>122</v>
      </c>
      <c r="C106">
        <v>4</v>
      </c>
      <c r="D106">
        <v>200000</v>
      </c>
      <c r="E106">
        <v>1000000</v>
      </c>
      <c r="F106">
        <v>3000000</v>
      </c>
      <c r="G106">
        <v>3.5795945214305853E-2</v>
      </c>
    </row>
    <row r="107" spans="2:8">
      <c r="B107" t="s">
        <v>237</v>
      </c>
      <c r="C107">
        <v>4.0999999999999996</v>
      </c>
      <c r="D107">
        <v>204999.99999999997</v>
      </c>
      <c r="E107">
        <v>1024999.9999999999</v>
      </c>
      <c r="F107">
        <v>3074999.9999999995</v>
      </c>
      <c r="G107">
        <v>3.66908438446635E-2</v>
      </c>
    </row>
    <row r="108" spans="2:8">
      <c r="B108" t="s">
        <v>239</v>
      </c>
      <c r="C108">
        <v>3.9</v>
      </c>
      <c r="D108">
        <v>195000</v>
      </c>
      <c r="E108">
        <v>975000</v>
      </c>
      <c r="F108">
        <v>2925000</v>
      </c>
      <c r="G108">
        <v>3.4901046583948207E-2</v>
      </c>
    </row>
    <row r="109" spans="2:8">
      <c r="B109" t="s">
        <v>270</v>
      </c>
      <c r="C109">
        <v>111.74449999999999</v>
      </c>
      <c r="D109">
        <v>5587225</v>
      </c>
      <c r="E109">
        <v>27936124.999999996</v>
      </c>
      <c r="F109">
        <v>83808375</v>
      </c>
      <c r="G109">
        <v>1</v>
      </c>
    </row>
  </sheetData>
  <mergeCells count="6">
    <mergeCell ref="B81:G81"/>
    <mergeCell ref="B49:G49"/>
    <mergeCell ref="B51:G51"/>
    <mergeCell ref="B58:G58"/>
    <mergeCell ref="B66:G66"/>
    <mergeCell ref="B75:G7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7B0BD-47EA-49C8-9A46-E089545360EE}">
  <dimension ref="B3:D41"/>
  <sheetViews>
    <sheetView workbookViewId="0">
      <selection activeCell="C4" sqref="C4"/>
    </sheetView>
  </sheetViews>
  <sheetFormatPr defaultRowHeight="14.45"/>
  <cols>
    <col min="2" max="2" width="28.85546875" bestFit="1" customWidth="1"/>
    <col min="3" max="3" width="29.5703125" bestFit="1" customWidth="1"/>
    <col min="4" max="4" width="24.42578125" bestFit="1" customWidth="1"/>
  </cols>
  <sheetData>
    <row r="3" spans="2:4">
      <c r="B3" s="30" t="s">
        <v>271</v>
      </c>
      <c r="C3" s="30" t="s">
        <v>272</v>
      </c>
      <c r="D3" s="30" t="s">
        <v>273</v>
      </c>
    </row>
    <row r="4" spans="2:4">
      <c r="B4" s="31" t="str" cm="1">
        <f t="array" ref="B4:B22">IFERROR(_xlfn.UNIQUE(_xlfn._xlws.FILTER(('Staffing Plan'!E20:E69),('Staffing Plan'!E20:E69)&lt;&gt;"")),"Resources TBD")</f>
        <v>Delivery Management Executive1</v>
      </c>
      <c r="C4" s="24"/>
      <c r="D4" s="24"/>
    </row>
    <row r="5" spans="2:4">
      <c r="B5" s="31" t="str">
        <v>Program Architect1</v>
      </c>
      <c r="C5" s="24"/>
      <c r="D5" s="24"/>
    </row>
    <row r="6" spans="2:4">
      <c r="B6" s="31" t="str">
        <v>Senior Project Manager1</v>
      </c>
      <c r="C6" s="24"/>
      <c r="D6" s="24"/>
    </row>
    <row r="7" spans="2:4">
      <c r="B7" s="31" t="str">
        <v>GD Offshore1</v>
      </c>
      <c r="C7" s="24"/>
      <c r="D7" s="24"/>
    </row>
    <row r="8" spans="2:4">
      <c r="B8" s="31" t="str">
        <v>GD Offshore2</v>
      </c>
      <c r="C8" s="24"/>
      <c r="D8" s="24"/>
    </row>
    <row r="9" spans="2:4">
      <c r="B9" s="31" t="str">
        <v>Senior Domain Solution Architect1</v>
      </c>
      <c r="C9" s="24"/>
      <c r="D9" s="24"/>
    </row>
    <row r="10" spans="2:4">
      <c r="B10" s="31" t="str">
        <v>Senior Consultant1</v>
      </c>
      <c r="C10" s="24"/>
      <c r="D10" s="24"/>
    </row>
    <row r="11" spans="2:4">
      <c r="B11" s="31" t="str">
        <v>GD Offshore3</v>
      </c>
      <c r="C11" s="24"/>
      <c r="D11" s="24"/>
    </row>
    <row r="12" spans="2:4">
      <c r="B12" s="31" t="str">
        <v>Senior Consultant2</v>
      </c>
      <c r="C12" s="24"/>
      <c r="D12" s="24"/>
    </row>
    <row r="13" spans="2:4">
      <c r="B13" s="31" t="str">
        <v>Senior Domain Soultion Architect2</v>
      </c>
      <c r="C13" s="24"/>
      <c r="D13" s="24"/>
    </row>
    <row r="14" spans="2:4">
      <c r="B14" s="31" t="str">
        <v>Principal Data Scientist1</v>
      </c>
      <c r="C14" s="24"/>
      <c r="D14" s="24"/>
    </row>
    <row r="15" spans="2:4">
      <c r="B15" s="31" t="str">
        <v>Data Scientist1</v>
      </c>
      <c r="C15" s="24"/>
      <c r="D15" s="24"/>
    </row>
    <row r="16" spans="2:4">
      <c r="B16" s="31" t="str">
        <v>Data Scientist2</v>
      </c>
      <c r="C16" s="24"/>
      <c r="D16" s="24"/>
    </row>
    <row r="17" spans="2:4">
      <c r="B17" s="31" t="str">
        <v>Data Scientist3</v>
      </c>
      <c r="C17" s="24"/>
      <c r="D17" s="24"/>
    </row>
    <row r="18" spans="2:4">
      <c r="B18" s="31" t="str">
        <v>Data Scientist4</v>
      </c>
      <c r="C18" s="24"/>
      <c r="D18" s="24"/>
    </row>
    <row r="19" spans="2:4">
      <c r="B19" s="31" t="str">
        <v>GD Offshore4</v>
      </c>
      <c r="C19" s="24"/>
      <c r="D19" s="24"/>
    </row>
    <row r="20" spans="2:4">
      <c r="B20" s="31" t="str">
        <v>GD Offshore5</v>
      </c>
      <c r="C20" s="24"/>
      <c r="D20" s="24"/>
    </row>
    <row r="21" spans="2:4">
      <c r="B21" s="31" t="str">
        <v>GD Offshore6</v>
      </c>
      <c r="C21" s="24"/>
      <c r="D21" s="24"/>
    </row>
    <row r="22" spans="2:4">
      <c r="B22" s="31" t="str">
        <v>GD Offshore7</v>
      </c>
      <c r="C22" s="24"/>
      <c r="D22" s="24"/>
    </row>
    <row r="23" spans="2:4">
      <c r="B23" s="31"/>
      <c r="C23" s="24"/>
      <c r="D23" s="24"/>
    </row>
    <row r="24" spans="2:4">
      <c r="B24" s="31"/>
      <c r="C24" s="24"/>
      <c r="D24" s="24"/>
    </row>
    <row r="25" spans="2:4">
      <c r="B25" s="31"/>
      <c r="C25" s="24"/>
      <c r="D25" s="24"/>
    </row>
    <row r="26" spans="2:4">
      <c r="B26" s="31"/>
      <c r="C26" s="24"/>
      <c r="D26" s="24"/>
    </row>
    <row r="27" spans="2:4">
      <c r="B27" s="31"/>
      <c r="C27" s="24"/>
      <c r="D27" s="24"/>
    </row>
    <row r="28" spans="2:4">
      <c r="B28" s="31"/>
      <c r="C28" s="24"/>
      <c r="D28" s="24"/>
    </row>
    <row r="29" spans="2:4">
      <c r="B29" s="31"/>
      <c r="C29" s="24"/>
      <c r="D29" s="24"/>
    </row>
    <row r="30" spans="2:4">
      <c r="B30" s="31"/>
      <c r="C30" s="24"/>
      <c r="D30" s="24"/>
    </row>
    <row r="31" spans="2:4">
      <c r="B31" s="31"/>
      <c r="C31" s="24"/>
      <c r="D31" s="24"/>
    </row>
    <row r="32" spans="2:4">
      <c r="B32" s="31"/>
      <c r="C32" s="24"/>
      <c r="D32" s="24"/>
    </row>
    <row r="33" spans="2:4">
      <c r="B33" s="31"/>
      <c r="C33" s="24"/>
      <c r="D33" s="24"/>
    </row>
    <row r="34" spans="2:4">
      <c r="B34" s="31"/>
      <c r="C34" s="24"/>
      <c r="D34" s="24"/>
    </row>
    <row r="35" spans="2:4">
      <c r="B35" s="31"/>
      <c r="C35" s="24"/>
      <c r="D35" s="24"/>
    </row>
    <row r="36" spans="2:4">
      <c r="B36" s="31"/>
      <c r="C36" s="24"/>
      <c r="D36" s="24"/>
    </row>
    <row r="37" spans="2:4">
      <c r="B37" s="31"/>
      <c r="C37" s="24"/>
      <c r="D37" s="24"/>
    </row>
    <row r="38" spans="2:4">
      <c r="B38" s="31"/>
      <c r="C38" s="24"/>
      <c r="D38" s="24"/>
    </row>
    <row r="39" spans="2:4">
      <c r="B39" s="31"/>
      <c r="C39" s="24"/>
      <c r="D39" s="24"/>
    </row>
    <row r="40" spans="2:4">
      <c r="B40" s="31"/>
      <c r="C40" s="24"/>
      <c r="D40" s="24"/>
    </row>
    <row r="41" spans="2:4">
      <c r="B41" s="31"/>
      <c r="C41" s="24"/>
      <c r="D41" s="24"/>
    </row>
  </sheetData>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74C24BB0-5621-4A21-8458-2FF7781962C9}">
          <x14:formula1>
            <xm:f>SkillList!$A$1:$A$1174</xm:f>
          </x14:formula1>
          <xm:sqref>D4:D41</xm:sqref>
        </x14:dataValidation>
        <x14:dataValidation type="list" allowBlank="1" showInputMessage="1" showErrorMessage="1" promptTitle="test" xr:uid="{303D7842-B23E-4C9A-B2AC-280EC119289E}">
          <x14:formula1>
            <xm:f>SkillList!$A$1:$A$1174</xm:f>
          </x14:formula1>
          <xm:sqref>C4:C40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39F82-060C-48C5-BF3E-E2CD332D8729}">
  <sheetPr codeName="Sheet2"/>
  <dimension ref="A3:F66"/>
  <sheetViews>
    <sheetView zoomScale="110" zoomScaleNormal="110" workbookViewId="0">
      <selection activeCell="E4" sqref="E4"/>
    </sheetView>
  </sheetViews>
  <sheetFormatPr defaultRowHeight="14.45"/>
  <cols>
    <col min="1" max="1" width="6.5703125" style="34" customWidth="1"/>
    <col min="2" max="2" width="10" style="34" customWidth="1"/>
    <col min="3" max="3" width="3.5703125" style="34" customWidth="1"/>
    <col min="4" max="4" width="6.85546875" customWidth="1"/>
    <col min="5" max="5" width="22" bestFit="1" customWidth="1"/>
    <col min="6" max="6" width="36.5703125" bestFit="1" customWidth="1"/>
  </cols>
  <sheetData>
    <row r="3" spans="1:6" ht="25.9">
      <c r="B3" s="73" t="s">
        <v>274</v>
      </c>
    </row>
    <row r="4" spans="1:6">
      <c r="B4" s="39" t="str">
        <f>TEXT("Completed " &amp; COUNTIF(B7:B20,TRUE) &amp; " of " &amp; COUNTA(B7:B26),"General")</f>
        <v>Completed 0 of 20</v>
      </c>
    </row>
    <row r="5" spans="1:6">
      <c r="A5" s="35"/>
      <c r="B5" s="39"/>
    </row>
    <row r="6" spans="1:6">
      <c r="A6" s="35"/>
      <c r="B6" s="39" t="s">
        <v>275</v>
      </c>
      <c r="D6" s="35" t="s">
        <v>276</v>
      </c>
      <c r="E6" s="35" t="s">
        <v>277</v>
      </c>
    </row>
    <row r="7" spans="1:6">
      <c r="B7" s="36" t="b">
        <v>0</v>
      </c>
      <c r="D7" s="37">
        <v>1.1000000000000001</v>
      </c>
      <c r="E7" s="37" t="s">
        <v>154</v>
      </c>
      <c r="F7" t="s">
        <v>278</v>
      </c>
    </row>
    <row r="8" spans="1:6">
      <c r="B8" s="36" t="b">
        <v>0</v>
      </c>
      <c r="D8" s="37">
        <v>1.2</v>
      </c>
      <c r="E8" s="37" t="s">
        <v>279</v>
      </c>
      <c r="F8" t="s">
        <v>280</v>
      </c>
    </row>
    <row r="9" spans="1:6">
      <c r="B9" s="36" t="b">
        <v>0</v>
      </c>
      <c r="D9" s="37">
        <v>1.3</v>
      </c>
      <c r="E9" s="37" t="s">
        <v>279</v>
      </c>
      <c r="F9" t="s">
        <v>281</v>
      </c>
    </row>
    <row r="10" spans="1:6">
      <c r="B10" s="36" t="b">
        <v>0</v>
      </c>
      <c r="D10" s="37">
        <v>1.4</v>
      </c>
      <c r="E10" s="37" t="s">
        <v>279</v>
      </c>
      <c r="F10" t="s">
        <v>282</v>
      </c>
    </row>
    <row r="11" spans="1:6">
      <c r="B11" s="36" t="b">
        <v>0</v>
      </c>
      <c r="D11" s="37">
        <v>1.5</v>
      </c>
      <c r="E11" s="37" t="s">
        <v>279</v>
      </c>
      <c r="F11" t="s">
        <v>283</v>
      </c>
    </row>
    <row r="12" spans="1:6">
      <c r="B12" s="36" t="b">
        <v>0</v>
      </c>
      <c r="D12" s="37">
        <v>1.6</v>
      </c>
      <c r="E12" s="37" t="s">
        <v>284</v>
      </c>
      <c r="F12" t="s">
        <v>285</v>
      </c>
    </row>
    <row r="13" spans="1:6">
      <c r="B13" s="36" t="b">
        <v>0</v>
      </c>
      <c r="D13" s="37">
        <v>1.8</v>
      </c>
      <c r="E13" s="37" t="s">
        <v>279</v>
      </c>
      <c r="F13" t="s">
        <v>286</v>
      </c>
    </row>
    <row r="14" spans="1:6">
      <c r="B14" s="36" t="b">
        <v>0</v>
      </c>
      <c r="D14" s="37">
        <v>1.9</v>
      </c>
      <c r="E14" s="37" t="s">
        <v>279</v>
      </c>
      <c r="F14" t="s">
        <v>287</v>
      </c>
    </row>
    <row r="15" spans="1:6">
      <c r="B15" s="36" t="b">
        <v>0</v>
      </c>
      <c r="D15" s="70">
        <v>1.1000000000000001</v>
      </c>
      <c r="E15" s="70" t="s">
        <v>154</v>
      </c>
      <c r="F15" t="s">
        <v>288</v>
      </c>
    </row>
    <row r="16" spans="1:6">
      <c r="B16" s="36" t="b">
        <v>0</v>
      </c>
      <c r="D16" s="70">
        <v>1.1100000000000001</v>
      </c>
      <c r="E16" s="70" t="s">
        <v>154</v>
      </c>
      <c r="F16" t="s">
        <v>289</v>
      </c>
    </row>
    <row r="17" spans="2:6">
      <c r="B17" s="36" t="b">
        <v>0</v>
      </c>
      <c r="D17" s="70">
        <v>1.1200000000000001</v>
      </c>
      <c r="E17" s="70" t="s">
        <v>279</v>
      </c>
      <c r="F17" t="s">
        <v>290</v>
      </c>
    </row>
    <row r="18" spans="2:6">
      <c r="B18" s="36" t="b">
        <v>0</v>
      </c>
      <c r="D18" s="70">
        <v>1.1299999999999999</v>
      </c>
      <c r="E18" s="70" t="s">
        <v>279</v>
      </c>
      <c r="F18" t="s">
        <v>291</v>
      </c>
    </row>
    <row r="19" spans="2:6">
      <c r="B19" s="36" t="b">
        <v>0</v>
      </c>
      <c r="D19" s="70">
        <v>1.1399999999999999</v>
      </c>
      <c r="E19" s="70" t="s">
        <v>279</v>
      </c>
      <c r="F19" t="s">
        <v>292</v>
      </c>
    </row>
    <row r="20" spans="2:6">
      <c r="B20" s="36" t="b">
        <v>0</v>
      </c>
      <c r="D20" s="70">
        <v>1.1499999999999999</v>
      </c>
      <c r="E20" s="70" t="s">
        <v>154</v>
      </c>
      <c r="F20" t="s">
        <v>293</v>
      </c>
    </row>
    <row r="21" spans="2:6">
      <c r="B21" s="36" t="b">
        <v>0</v>
      </c>
      <c r="D21" s="70">
        <v>1.1599999999999999</v>
      </c>
      <c r="E21" s="70" t="s">
        <v>279</v>
      </c>
      <c r="F21" t="s">
        <v>294</v>
      </c>
    </row>
    <row r="22" spans="2:6">
      <c r="B22" s="36" t="b">
        <v>0</v>
      </c>
      <c r="D22" s="70">
        <v>1.17</v>
      </c>
      <c r="E22" s="70" t="s">
        <v>279</v>
      </c>
      <c r="F22" t="s">
        <v>295</v>
      </c>
    </row>
    <row r="23" spans="2:6">
      <c r="B23" s="36" t="b">
        <v>0</v>
      </c>
      <c r="D23" s="70">
        <v>1.18</v>
      </c>
      <c r="E23" s="70" t="s">
        <v>279</v>
      </c>
      <c r="F23" t="s">
        <v>296</v>
      </c>
    </row>
    <row r="24" spans="2:6">
      <c r="B24" s="36" t="b">
        <v>0</v>
      </c>
      <c r="D24" s="70">
        <v>1.19</v>
      </c>
      <c r="E24" s="70" t="s">
        <v>279</v>
      </c>
      <c r="F24" t="s">
        <v>297</v>
      </c>
    </row>
    <row r="25" spans="2:6">
      <c r="B25" s="36" t="b">
        <v>0</v>
      </c>
      <c r="D25" s="70">
        <v>1.2</v>
      </c>
      <c r="E25" s="70" t="s">
        <v>279</v>
      </c>
      <c r="F25" t="s">
        <v>298</v>
      </c>
    </row>
    <row r="26" spans="2:6">
      <c r="B26" s="36" t="b">
        <v>0</v>
      </c>
      <c r="D26" s="70">
        <v>1.21</v>
      </c>
      <c r="E26" s="70" t="s">
        <v>279</v>
      </c>
      <c r="F26" t="s">
        <v>299</v>
      </c>
    </row>
    <row r="28" spans="2:6" ht="25.9">
      <c r="B28" s="74" t="s">
        <v>300</v>
      </c>
    </row>
    <row r="29" spans="2:6">
      <c r="B29" s="39" t="str">
        <f>TEXT("Completed " &amp; COUNTIF(B32:B52,TRUE) &amp; " of " &amp; COUNTA(B32:B52),"General")</f>
        <v>Completed 0 of 18</v>
      </c>
    </row>
    <row r="30" spans="2:6" ht="15.6">
      <c r="B30" s="35"/>
      <c r="D30" s="38" t="s">
        <v>301</v>
      </c>
      <c r="E30" s="38"/>
    </row>
    <row r="31" spans="2:6">
      <c r="B31" s="39" t="s">
        <v>275</v>
      </c>
      <c r="D31" s="71" t="s">
        <v>276</v>
      </c>
      <c r="E31" s="71"/>
    </row>
    <row r="32" spans="2:6">
      <c r="B32" s="36" t="b">
        <v>0</v>
      </c>
      <c r="D32" s="72">
        <v>2.1</v>
      </c>
      <c r="E32" s="72" t="s">
        <v>154</v>
      </c>
      <c r="F32" t="s">
        <v>302</v>
      </c>
    </row>
    <row r="33" spans="1:6">
      <c r="B33" s="36" t="b">
        <v>0</v>
      </c>
      <c r="D33" s="72" t="s">
        <v>303</v>
      </c>
      <c r="E33" s="72" t="s">
        <v>154</v>
      </c>
      <c r="F33" t="s">
        <v>304</v>
      </c>
    </row>
    <row r="34" spans="1:6">
      <c r="B34" s="36" t="b">
        <v>0</v>
      </c>
      <c r="D34" s="72" t="s">
        <v>305</v>
      </c>
      <c r="E34" s="72" t="s">
        <v>154</v>
      </c>
      <c r="F34" t="s">
        <v>306</v>
      </c>
    </row>
    <row r="35" spans="1:6">
      <c r="B35" s="36" t="b">
        <v>0</v>
      </c>
      <c r="D35" s="72" t="s">
        <v>307</v>
      </c>
      <c r="E35" s="72" t="s">
        <v>154</v>
      </c>
      <c r="F35" t="s">
        <v>308</v>
      </c>
    </row>
    <row r="36" spans="1:6">
      <c r="B36" s="36" t="b">
        <v>0</v>
      </c>
      <c r="D36" s="72" t="s">
        <v>309</v>
      </c>
      <c r="E36" s="72" t="s">
        <v>154</v>
      </c>
      <c r="F36" t="s">
        <v>310</v>
      </c>
    </row>
    <row r="37" spans="1:6">
      <c r="B37" s="36" t="b">
        <v>0</v>
      </c>
      <c r="D37" s="72" t="s">
        <v>311</v>
      </c>
      <c r="E37" s="72" t="s">
        <v>279</v>
      </c>
      <c r="F37" t="s">
        <v>312</v>
      </c>
    </row>
    <row r="38" spans="1:6">
      <c r="B38" s="36" t="b">
        <v>0</v>
      </c>
      <c r="D38" s="72" t="s">
        <v>313</v>
      </c>
      <c r="E38" s="72" t="s">
        <v>154</v>
      </c>
      <c r="F38" t="s">
        <v>314</v>
      </c>
    </row>
    <row r="39" spans="1:6">
      <c r="D39" s="72"/>
      <c r="E39" s="72"/>
    </row>
    <row r="40" spans="1:6" ht="15.6">
      <c r="D40" s="38" t="s">
        <v>315</v>
      </c>
      <c r="E40" s="38"/>
    </row>
    <row r="41" spans="1:6">
      <c r="A41" s="35"/>
      <c r="B41" s="35"/>
      <c r="C41" s="35"/>
      <c r="D41" s="75" t="s">
        <v>276</v>
      </c>
      <c r="E41" s="75"/>
    </row>
    <row r="42" spans="1:6">
      <c r="B42" s="36" t="b">
        <v>0</v>
      </c>
      <c r="D42" s="72" t="s">
        <v>311</v>
      </c>
      <c r="E42" s="72" t="s">
        <v>154</v>
      </c>
      <c r="F42" t="s">
        <v>316</v>
      </c>
    </row>
    <row r="43" spans="1:6">
      <c r="B43" s="36" t="b">
        <v>0</v>
      </c>
      <c r="D43" s="72" t="s">
        <v>313</v>
      </c>
      <c r="E43" s="72" t="s">
        <v>154</v>
      </c>
      <c r="F43" t="s">
        <v>317</v>
      </c>
    </row>
    <row r="44" spans="1:6">
      <c r="B44" s="36" t="b">
        <v>0</v>
      </c>
      <c r="D44" s="72" t="s">
        <v>318</v>
      </c>
      <c r="E44" s="72" t="s">
        <v>154</v>
      </c>
      <c r="F44" t="s">
        <v>319</v>
      </c>
    </row>
    <row r="45" spans="1:6">
      <c r="B45" s="36" t="b">
        <v>0</v>
      </c>
      <c r="D45" s="72" t="s">
        <v>320</v>
      </c>
      <c r="E45" s="72" t="s">
        <v>154</v>
      </c>
      <c r="F45" t="s">
        <v>321</v>
      </c>
    </row>
    <row r="46" spans="1:6">
      <c r="B46" s="36" t="b">
        <v>0</v>
      </c>
      <c r="D46" s="72" t="s">
        <v>322</v>
      </c>
      <c r="E46" s="72" t="s">
        <v>154</v>
      </c>
      <c r="F46" t="s">
        <v>323</v>
      </c>
    </row>
    <row r="47" spans="1:6">
      <c r="B47" s="36" t="b">
        <v>0</v>
      </c>
      <c r="D47" s="72" t="s">
        <v>324</v>
      </c>
      <c r="E47" s="72" t="s">
        <v>154</v>
      </c>
      <c r="F47" t="s">
        <v>325</v>
      </c>
    </row>
    <row r="48" spans="1:6">
      <c r="B48" s="36" t="b">
        <v>0</v>
      </c>
      <c r="D48" s="72" t="s">
        <v>326</v>
      </c>
      <c r="E48" s="72" t="s">
        <v>279</v>
      </c>
      <c r="F48" t="s">
        <v>327</v>
      </c>
    </row>
    <row r="49" spans="1:6">
      <c r="B49" s="36" t="b">
        <v>0</v>
      </c>
      <c r="D49" s="72" t="s">
        <v>328</v>
      </c>
      <c r="E49" s="72" t="s">
        <v>279</v>
      </c>
      <c r="F49" t="s">
        <v>329</v>
      </c>
    </row>
    <row r="50" spans="1:6">
      <c r="B50" s="36" t="b">
        <v>0</v>
      </c>
      <c r="D50" s="72" t="s">
        <v>330</v>
      </c>
      <c r="E50" s="72" t="s">
        <v>154</v>
      </c>
      <c r="F50" t="s">
        <v>331</v>
      </c>
    </row>
    <row r="51" spans="1:6">
      <c r="B51" s="36" t="b">
        <v>0</v>
      </c>
      <c r="D51" s="72" t="s">
        <v>332</v>
      </c>
      <c r="E51" s="72" t="s">
        <v>279</v>
      </c>
      <c r="F51" t="s">
        <v>333</v>
      </c>
    </row>
    <row r="52" spans="1:6">
      <c r="B52" s="36" t="b">
        <v>0</v>
      </c>
      <c r="D52" s="72" t="s">
        <v>334</v>
      </c>
      <c r="E52" s="72" t="s">
        <v>279</v>
      </c>
      <c r="F52" t="s">
        <v>335</v>
      </c>
    </row>
    <row r="55" spans="1:6" ht="25.9">
      <c r="B55" s="74" t="s">
        <v>336</v>
      </c>
    </row>
    <row r="56" spans="1:6">
      <c r="B56" s="39" t="str">
        <f>TEXT("Completed " &amp; COUNTIF(B59:B66,TRUE) &amp; " of " &amp; COUNTA(B59:B66),"General")</f>
        <v>Completed 0 of 5</v>
      </c>
    </row>
    <row r="57" spans="1:6">
      <c r="D57" s="75" t="s">
        <v>337</v>
      </c>
      <c r="E57" s="75"/>
    </row>
    <row r="58" spans="1:6">
      <c r="A58" s="35"/>
      <c r="B58" s="39" t="s">
        <v>275</v>
      </c>
      <c r="C58" s="35"/>
      <c r="D58" s="35" t="s">
        <v>276</v>
      </c>
      <c r="E58" s="35"/>
    </row>
    <row r="59" spans="1:6">
      <c r="A59" s="35"/>
      <c r="B59" s="40" t="b">
        <v>0</v>
      </c>
      <c r="C59" s="35"/>
      <c r="D59" s="37">
        <v>3.1</v>
      </c>
      <c r="E59" s="72" t="s">
        <v>279</v>
      </c>
      <c r="F59" t="s">
        <v>338</v>
      </c>
    </row>
    <row r="60" spans="1:6">
      <c r="B60" s="36" t="b">
        <v>0</v>
      </c>
      <c r="D60" s="37">
        <v>3.2</v>
      </c>
      <c r="E60" s="72" t="s">
        <v>279</v>
      </c>
      <c r="F60" t="s">
        <v>339</v>
      </c>
    </row>
    <row r="61" spans="1:6">
      <c r="B61" s="36" t="b">
        <v>0</v>
      </c>
      <c r="D61" s="37">
        <v>3.3</v>
      </c>
      <c r="E61" s="72" t="s">
        <v>279</v>
      </c>
      <c r="F61" t="s">
        <v>340</v>
      </c>
    </row>
    <row r="62" spans="1:6">
      <c r="D62" s="37"/>
      <c r="E62" s="37"/>
    </row>
    <row r="63" spans="1:6">
      <c r="D63" s="39" t="s">
        <v>341</v>
      </c>
      <c r="E63" s="39"/>
    </row>
    <row r="64" spans="1:6">
      <c r="A64" s="35"/>
      <c r="B64" s="35"/>
      <c r="C64" s="35"/>
      <c r="D64" s="76" t="s">
        <v>276</v>
      </c>
      <c r="E64" s="76"/>
    </row>
    <row r="65" spans="2:6">
      <c r="B65" s="36" t="b">
        <v>0</v>
      </c>
      <c r="D65" s="37">
        <v>3.4</v>
      </c>
      <c r="E65" s="72" t="s">
        <v>279</v>
      </c>
      <c r="F65" t="s">
        <v>342</v>
      </c>
    </row>
    <row r="66" spans="2:6">
      <c r="B66" s="36" t="b">
        <v>0</v>
      </c>
      <c r="D66" s="37">
        <v>3.5</v>
      </c>
      <c r="E66" s="72" t="s">
        <v>279</v>
      </c>
      <c r="F66" t="s">
        <v>343</v>
      </c>
    </row>
  </sheetData>
  <phoneticPr fontId="15" type="noConversion"/>
  <conditionalFormatting sqref="F7:F26 F32:F38 F42:F52">
    <cfRule type="expression" dxfId="70" priority="6">
      <formula>$B7</formula>
    </cfRule>
  </conditionalFormatting>
  <conditionalFormatting sqref="F59:F61">
    <cfRule type="expression" dxfId="69" priority="3">
      <formula>$B59</formula>
    </cfRule>
  </conditionalFormatting>
  <conditionalFormatting sqref="F65:F66">
    <cfRule type="expression" dxfId="68" priority="2">
      <formula>$B65</formula>
    </cfRule>
  </conditionalFormatting>
  <pageMargins left="0.7" right="0.7" top="0.75" bottom="0.75" header="0.3" footer="0.3"/>
  <pageSetup orientation="portrait" horizontalDpi="360" verticalDpi="360" r:id="rId1"/>
  <ignoredErrors>
    <ignoredError sqref="D33:D38 D42:D52"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47F7E-BFC2-40AD-ADE0-1C5840747F13}">
  <dimension ref="A1:F50"/>
  <sheetViews>
    <sheetView workbookViewId="0">
      <pane ySplit="1" topLeftCell="A2" activePane="bottomLeft" state="frozen"/>
      <selection pane="bottomLeft" activeCell="C15" sqref="C15"/>
      <selection activeCell="B38" sqref="B38"/>
    </sheetView>
  </sheetViews>
  <sheetFormatPr defaultRowHeight="14.45"/>
  <cols>
    <col min="2" max="2" width="12.7109375" customWidth="1"/>
    <col min="3" max="3" width="83.5703125" customWidth="1"/>
    <col min="5" max="5" width="13.28515625" bestFit="1" customWidth="1"/>
  </cols>
  <sheetData>
    <row r="1" spans="1:6">
      <c r="A1" s="30" t="s">
        <v>344</v>
      </c>
      <c r="B1" s="30" t="s">
        <v>2</v>
      </c>
      <c r="C1" s="30" t="s">
        <v>211</v>
      </c>
    </row>
    <row r="2" spans="1:6">
      <c r="A2" s="84">
        <v>0.9</v>
      </c>
      <c r="B2" s="85">
        <v>45523</v>
      </c>
      <c r="C2" s="84" t="s">
        <v>345</v>
      </c>
      <c r="E2" t="s">
        <v>346</v>
      </c>
      <c r="F2" s="91" t="s">
        <v>347</v>
      </c>
    </row>
    <row r="3" spans="1:6">
      <c r="A3" s="84">
        <v>0.91</v>
      </c>
      <c r="B3" s="85">
        <v>45527</v>
      </c>
      <c r="C3" s="84" t="s">
        <v>348</v>
      </c>
    </row>
    <row r="4" spans="1:6">
      <c r="A4" s="84">
        <v>0.92</v>
      </c>
      <c r="B4" s="85">
        <v>45530</v>
      </c>
      <c r="C4" s="84" t="s">
        <v>349</v>
      </c>
    </row>
    <row r="5" spans="1:6">
      <c r="A5" s="84">
        <v>0.93</v>
      </c>
      <c r="B5" s="85">
        <v>45572</v>
      </c>
      <c r="C5" s="84" t="s">
        <v>350</v>
      </c>
    </row>
    <row r="6" spans="1:6">
      <c r="A6" s="84">
        <v>0.94</v>
      </c>
      <c r="B6" s="85">
        <v>45579</v>
      </c>
      <c r="C6" s="84" t="s">
        <v>351</v>
      </c>
    </row>
    <row r="7" spans="1:6">
      <c r="A7" s="84">
        <v>0.95</v>
      </c>
      <c r="B7" s="85">
        <v>45583</v>
      </c>
      <c r="C7" s="84" t="s">
        <v>352</v>
      </c>
    </row>
    <row r="8" spans="1:6">
      <c r="A8" s="84">
        <v>0.96</v>
      </c>
      <c r="B8" s="85">
        <v>45593</v>
      </c>
      <c r="C8" s="84" t="s">
        <v>353</v>
      </c>
    </row>
    <row r="9" spans="1:6">
      <c r="A9" s="84">
        <v>0.97</v>
      </c>
      <c r="B9" s="85">
        <v>45614</v>
      </c>
      <c r="C9" s="84" t="s">
        <v>354</v>
      </c>
    </row>
    <row r="10" spans="1:6">
      <c r="A10" s="84">
        <v>0.98</v>
      </c>
      <c r="B10" s="85">
        <v>45614</v>
      </c>
      <c r="C10" s="84" t="s">
        <v>355</v>
      </c>
    </row>
    <row r="11" spans="1:6">
      <c r="A11" s="84">
        <v>0.99</v>
      </c>
      <c r="B11" s="85">
        <v>45749</v>
      </c>
      <c r="C11" s="84" t="s">
        <v>356</v>
      </c>
    </row>
    <row r="12" spans="1:6">
      <c r="A12" s="84">
        <v>1</v>
      </c>
      <c r="B12" s="85">
        <v>45799</v>
      </c>
      <c r="C12" s="84" t="s">
        <v>357</v>
      </c>
    </row>
    <row r="13" spans="1:6">
      <c r="A13" s="84">
        <v>1.1000000000000001</v>
      </c>
      <c r="B13" s="85">
        <v>45853</v>
      </c>
      <c r="C13" s="84" t="s">
        <v>358</v>
      </c>
    </row>
    <row r="14" spans="1:6">
      <c r="A14" s="84">
        <v>1.2</v>
      </c>
      <c r="B14" s="85">
        <v>45859</v>
      </c>
      <c r="C14" s="84" t="s">
        <v>359</v>
      </c>
    </row>
    <row r="15" spans="1:6">
      <c r="A15" s="84"/>
      <c r="B15" s="84"/>
      <c r="C15" s="84"/>
    </row>
    <row r="16" spans="1:6">
      <c r="A16" s="84"/>
      <c r="B16" s="84"/>
      <c r="C16" s="84"/>
    </row>
    <row r="17" spans="1:3">
      <c r="A17" s="84"/>
      <c r="B17" s="84"/>
      <c r="C17" s="84"/>
    </row>
    <row r="18" spans="1:3">
      <c r="A18" s="84"/>
      <c r="B18" s="84"/>
      <c r="C18" s="84"/>
    </row>
    <row r="19" spans="1:3">
      <c r="A19" s="84"/>
      <c r="B19" s="84"/>
      <c r="C19" s="84"/>
    </row>
    <row r="20" spans="1:3">
      <c r="A20" s="84"/>
      <c r="B20" s="84"/>
      <c r="C20" s="84"/>
    </row>
    <row r="21" spans="1:3">
      <c r="A21" s="84"/>
      <c r="B21" s="84"/>
      <c r="C21" s="84"/>
    </row>
    <row r="22" spans="1:3">
      <c r="A22" s="84"/>
      <c r="B22" s="84"/>
      <c r="C22" s="84"/>
    </row>
    <row r="23" spans="1:3">
      <c r="A23" s="84"/>
      <c r="B23" s="84"/>
      <c r="C23" s="84"/>
    </row>
    <row r="24" spans="1:3">
      <c r="A24" s="84"/>
      <c r="B24" s="84"/>
      <c r="C24" s="84"/>
    </row>
    <row r="25" spans="1:3">
      <c r="A25" s="84"/>
      <c r="B25" s="84"/>
      <c r="C25" s="84"/>
    </row>
    <row r="26" spans="1:3">
      <c r="A26" s="84"/>
      <c r="B26" s="84"/>
      <c r="C26" s="84"/>
    </row>
    <row r="27" spans="1:3">
      <c r="A27" s="84"/>
      <c r="B27" s="84"/>
      <c r="C27" s="84"/>
    </row>
    <row r="28" spans="1:3">
      <c r="A28" s="84"/>
      <c r="B28" s="84"/>
      <c r="C28" s="84"/>
    </row>
    <row r="29" spans="1:3">
      <c r="A29" s="84"/>
      <c r="B29" s="84"/>
      <c r="C29" s="84"/>
    </row>
    <row r="30" spans="1:3">
      <c r="A30" s="84"/>
      <c r="B30" s="84"/>
      <c r="C30" s="84"/>
    </row>
    <row r="31" spans="1:3">
      <c r="A31" s="84"/>
      <c r="B31" s="84"/>
      <c r="C31" s="84"/>
    </row>
    <row r="32" spans="1:3">
      <c r="A32" s="84"/>
      <c r="B32" s="84"/>
      <c r="C32" s="84"/>
    </row>
    <row r="33" spans="1:3">
      <c r="A33" s="84"/>
      <c r="B33" s="84"/>
      <c r="C33" s="84"/>
    </row>
    <row r="34" spans="1:3">
      <c r="A34" s="84"/>
      <c r="B34" s="84"/>
      <c r="C34" s="84"/>
    </row>
    <row r="35" spans="1:3">
      <c r="A35" s="84"/>
      <c r="B35" s="84"/>
      <c r="C35" s="84"/>
    </row>
    <row r="36" spans="1:3">
      <c r="A36" s="84"/>
      <c r="B36" s="84"/>
      <c r="C36" s="84"/>
    </row>
    <row r="37" spans="1:3">
      <c r="A37" s="84"/>
      <c r="B37" s="84"/>
      <c r="C37" s="84"/>
    </row>
    <row r="38" spans="1:3">
      <c r="A38" s="84"/>
      <c r="B38" s="84"/>
      <c r="C38" s="84"/>
    </row>
    <row r="39" spans="1:3">
      <c r="A39" s="84"/>
      <c r="B39" s="84"/>
      <c r="C39" s="84"/>
    </row>
    <row r="40" spans="1:3">
      <c r="A40" s="84"/>
      <c r="B40" s="84"/>
      <c r="C40" s="84"/>
    </row>
    <row r="41" spans="1:3">
      <c r="A41" s="84"/>
      <c r="B41" s="84"/>
      <c r="C41" s="84"/>
    </row>
    <row r="42" spans="1:3">
      <c r="A42" s="84"/>
      <c r="B42" s="84"/>
      <c r="C42" s="84"/>
    </row>
    <row r="43" spans="1:3">
      <c r="A43" s="84"/>
      <c r="B43" s="84"/>
      <c r="C43" s="84"/>
    </row>
    <row r="44" spans="1:3">
      <c r="A44" s="84"/>
      <c r="B44" s="84"/>
      <c r="C44" s="84"/>
    </row>
    <row r="45" spans="1:3">
      <c r="A45" s="84"/>
      <c r="B45" s="84"/>
      <c r="C45" s="84"/>
    </row>
    <row r="46" spans="1:3">
      <c r="A46" s="84"/>
      <c r="B46" s="84"/>
      <c r="C46" s="84"/>
    </row>
    <row r="47" spans="1:3">
      <c r="A47" s="84"/>
      <c r="B47" s="84"/>
      <c r="C47" s="84"/>
    </row>
    <row r="48" spans="1:3">
      <c r="A48" s="84"/>
      <c r="B48" s="84"/>
      <c r="C48" s="84"/>
    </row>
    <row r="49" spans="1:3">
      <c r="A49" s="84"/>
      <c r="B49" s="84"/>
      <c r="C49" s="84"/>
    </row>
    <row r="50" spans="1:3">
      <c r="A50" s="84"/>
      <c r="B50" s="84"/>
      <c r="C50" s="84"/>
    </row>
  </sheetData>
  <hyperlinks>
    <hyperlink ref="F2" r:id="rId1" display="../../../../:v:/t/ISDSWRMPursuitManagement/Efc2G_ax0dxFkxcumh-8_BABaXkhIA7bbINbR-pLaUcNsA?nav=eyJyZWZlcnJhbEluZm8iOnsicmVmZXJyYWxBcHAiOiJTdHJlYW1XZWJBcHAiLCJyZWZlcnJhbFZpZXciOiJTaGFyZURpYWxvZy1MaW5rIiwicmVmZXJyYWxBcHBQbGF0Zm9ybSI6IldlYiIsInJlZmVycmFsTW9kZSI6InZpZXcifX0%3D&amp;e=nCjFz8" xr:uid="{93C08A44-5845-4423-961A-5ACA792202C3}"/>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BC4DF-F721-47C9-905C-314CE5A254DC}">
  <dimension ref="B2:N45"/>
  <sheetViews>
    <sheetView workbookViewId="0">
      <selection activeCell="C7" sqref="C7:C8"/>
    </sheetView>
  </sheetViews>
  <sheetFormatPr defaultRowHeight="14.45"/>
  <cols>
    <col min="1" max="1" width="5.42578125" customWidth="1"/>
    <col min="2" max="2" width="18" customWidth="1"/>
    <col min="3" max="3" width="36.85546875" customWidth="1"/>
    <col min="4" max="4" width="16.7109375" customWidth="1"/>
    <col min="5" max="5" width="12.85546875" customWidth="1"/>
    <col min="6" max="6" width="17.5703125" customWidth="1"/>
    <col min="13" max="13" width="12.28515625" bestFit="1" customWidth="1"/>
    <col min="14" max="14" width="24.28515625" bestFit="1" customWidth="1"/>
  </cols>
  <sheetData>
    <row r="2" spans="2:14">
      <c r="F2" s="92">
        <v>0.1</v>
      </c>
      <c r="G2" s="92">
        <v>0.6</v>
      </c>
      <c r="H2" s="92">
        <v>0.1</v>
      </c>
    </row>
    <row r="3" spans="2:14" ht="28.9">
      <c r="B3" t="s">
        <v>360</v>
      </c>
      <c r="C3" t="s">
        <v>361</v>
      </c>
      <c r="D3" t="s">
        <v>362</v>
      </c>
      <c r="E3" s="88" t="s">
        <v>363</v>
      </c>
      <c r="F3" s="88" t="s">
        <v>364</v>
      </c>
      <c r="G3" s="34" t="s">
        <v>365</v>
      </c>
      <c r="H3" s="34" t="s">
        <v>366</v>
      </c>
      <c r="I3" s="34" t="s">
        <v>207</v>
      </c>
      <c r="M3" s="14" t="s">
        <v>367</v>
      </c>
      <c r="N3" s="14" t="s">
        <v>368</v>
      </c>
    </row>
    <row r="4" spans="2:14">
      <c r="B4" s="24"/>
      <c r="C4" s="24"/>
      <c r="D4" s="24"/>
      <c r="E4" s="24">
        <v>10</v>
      </c>
      <c r="F4" s="64">
        <f>$E4*$F$2</f>
        <v>1</v>
      </c>
      <c r="G4" s="64">
        <f>E4*$G$2</f>
        <v>6</v>
      </c>
      <c r="H4" s="64">
        <f>E4*$H$2</f>
        <v>1</v>
      </c>
      <c r="I4" s="64">
        <f>SUM(E4:H4)</f>
        <v>18</v>
      </c>
      <c r="M4" t="str" cm="1">
        <f t="array" ref="M4:M8">Helper3!A2:A6</f>
        <v>Infrastructure</v>
      </c>
      <c r="N4" s="34" cm="1">
        <f t="array" ref="N4">IFERROR(SUM(_xlfn._xlws.FILTER($I$4:$I$35,$B$4:$B$35=M4)),0)</f>
        <v>0</v>
      </c>
    </row>
    <row r="5" spans="2:14">
      <c r="B5" s="24"/>
      <c r="C5" s="24"/>
      <c r="D5" s="24"/>
      <c r="E5" s="24"/>
      <c r="F5" s="64">
        <f t="shared" ref="F5:F35" si="0">$E5*$F$2</f>
        <v>0</v>
      </c>
      <c r="G5" s="64">
        <f t="shared" ref="G5:G35" si="1">E5*$G$2</f>
        <v>0</v>
      </c>
      <c r="H5" s="64">
        <f t="shared" ref="H5:H35" si="2">E5*$H$2</f>
        <v>0</v>
      </c>
      <c r="I5" s="64">
        <f t="shared" ref="I5:I35" si="3">SUM(E5:H5)</f>
        <v>0</v>
      </c>
      <c r="M5" t="str">
        <v>AI</v>
      </c>
      <c r="N5" s="34" cm="1">
        <f t="array" ref="N5">IFERROR(SUM(_xlfn._xlws.FILTER($I$4:$I$35,$B$4:$B$35=M5)),0)</f>
        <v>0</v>
      </c>
    </row>
    <row r="6" spans="2:14">
      <c r="B6" s="24"/>
      <c r="C6" s="24"/>
      <c r="D6" s="24"/>
      <c r="E6" s="24"/>
      <c r="F6" s="64">
        <f t="shared" si="0"/>
        <v>0</v>
      </c>
      <c r="G6" s="64">
        <f t="shared" si="1"/>
        <v>0</v>
      </c>
      <c r="H6" s="64">
        <f t="shared" si="2"/>
        <v>0</v>
      </c>
      <c r="I6" s="64">
        <f t="shared" si="3"/>
        <v>0</v>
      </c>
      <c r="M6" t="str">
        <v>Development</v>
      </c>
      <c r="N6" s="34" cm="1">
        <f t="array" ref="N6">IFERROR(SUM(_xlfn._xlws.FILTER($I$4:$I$35,$B$4:$B$35=M6)),0)</f>
        <v>0</v>
      </c>
    </row>
    <row r="7" spans="2:14">
      <c r="B7" s="24"/>
      <c r="C7" s="24"/>
      <c r="D7" s="24"/>
      <c r="E7" s="24"/>
      <c r="F7" s="64">
        <f t="shared" si="0"/>
        <v>0</v>
      </c>
      <c r="G7" s="64">
        <f t="shared" si="1"/>
        <v>0</v>
      </c>
      <c r="H7" s="64">
        <f t="shared" si="2"/>
        <v>0</v>
      </c>
      <c r="I7" s="64">
        <f t="shared" si="3"/>
        <v>0</v>
      </c>
      <c r="M7" t="str">
        <v>Security</v>
      </c>
      <c r="N7" s="34" cm="1">
        <f t="array" ref="N7">IFERROR(SUM(_xlfn._xlws.FILTER($I$4:$I$35,$B$4:$B$35=M7)),0)</f>
        <v>0</v>
      </c>
    </row>
    <row r="8" spans="2:14">
      <c r="B8" s="24"/>
      <c r="C8" s="24"/>
      <c r="D8" s="24"/>
      <c r="E8" s="24"/>
      <c r="F8" s="64">
        <f t="shared" si="0"/>
        <v>0</v>
      </c>
      <c r="G8" s="64">
        <f t="shared" si="1"/>
        <v>0</v>
      </c>
      <c r="H8" s="64">
        <f t="shared" si="2"/>
        <v>0</v>
      </c>
      <c r="I8" s="64">
        <f t="shared" si="3"/>
        <v>0</v>
      </c>
      <c r="M8" t="str">
        <v>ASCM</v>
      </c>
      <c r="N8" s="34" cm="1">
        <f t="array" ref="N8">IFERROR(SUM(_xlfn._xlws.FILTER($I$4:$I$35,$B$4:$B$35=M8)),0)</f>
        <v>0</v>
      </c>
    </row>
    <row r="9" spans="2:14">
      <c r="B9" s="24"/>
      <c r="C9" s="24"/>
      <c r="D9" s="24"/>
      <c r="E9" s="24"/>
      <c r="F9" s="64">
        <f t="shared" si="0"/>
        <v>0</v>
      </c>
      <c r="G9" s="64">
        <f t="shared" si="1"/>
        <v>0</v>
      </c>
      <c r="H9" s="64">
        <f t="shared" si="2"/>
        <v>0</v>
      </c>
      <c r="I9" s="64">
        <f t="shared" si="3"/>
        <v>0</v>
      </c>
    </row>
    <row r="10" spans="2:14">
      <c r="B10" s="24"/>
      <c r="C10" s="24"/>
      <c r="D10" s="24"/>
      <c r="E10" s="24"/>
      <c r="F10" s="64">
        <f t="shared" si="0"/>
        <v>0</v>
      </c>
      <c r="G10" s="64">
        <f t="shared" si="1"/>
        <v>0</v>
      </c>
      <c r="H10" s="64">
        <f t="shared" si="2"/>
        <v>0</v>
      </c>
      <c r="I10" s="64">
        <f t="shared" si="3"/>
        <v>0</v>
      </c>
    </row>
    <row r="11" spans="2:14">
      <c r="B11" s="24"/>
      <c r="C11" s="24"/>
      <c r="D11" s="24"/>
      <c r="E11" s="24"/>
      <c r="F11" s="64">
        <f t="shared" si="0"/>
        <v>0</v>
      </c>
      <c r="G11" s="64">
        <f t="shared" si="1"/>
        <v>0</v>
      </c>
      <c r="H11" s="64">
        <f t="shared" si="2"/>
        <v>0</v>
      </c>
      <c r="I11" s="64">
        <f t="shared" si="3"/>
        <v>0</v>
      </c>
    </row>
    <row r="12" spans="2:14">
      <c r="B12" s="24"/>
      <c r="C12" s="24"/>
      <c r="D12" s="24"/>
      <c r="E12" s="24"/>
      <c r="F12" s="64">
        <f t="shared" si="0"/>
        <v>0</v>
      </c>
      <c r="G12" s="64">
        <f t="shared" si="1"/>
        <v>0</v>
      </c>
      <c r="H12" s="64">
        <f t="shared" si="2"/>
        <v>0</v>
      </c>
      <c r="I12" s="64">
        <f t="shared" si="3"/>
        <v>0</v>
      </c>
    </row>
    <row r="13" spans="2:14">
      <c r="B13" s="24"/>
      <c r="C13" s="24"/>
      <c r="D13" s="24"/>
      <c r="E13" s="24"/>
      <c r="F13" s="64">
        <f t="shared" si="0"/>
        <v>0</v>
      </c>
      <c r="G13" s="64">
        <f t="shared" si="1"/>
        <v>0</v>
      </c>
      <c r="H13" s="64">
        <f t="shared" si="2"/>
        <v>0</v>
      </c>
      <c r="I13" s="64">
        <f t="shared" si="3"/>
        <v>0</v>
      </c>
    </row>
    <row r="14" spans="2:14">
      <c r="B14" s="24"/>
      <c r="C14" s="24"/>
      <c r="D14" s="24"/>
      <c r="E14" s="24"/>
      <c r="F14" s="64">
        <f t="shared" si="0"/>
        <v>0</v>
      </c>
      <c r="G14" s="64">
        <f t="shared" si="1"/>
        <v>0</v>
      </c>
      <c r="H14" s="64">
        <f t="shared" si="2"/>
        <v>0</v>
      </c>
      <c r="I14" s="64">
        <f t="shared" si="3"/>
        <v>0</v>
      </c>
    </row>
    <row r="15" spans="2:14">
      <c r="B15" s="24"/>
      <c r="C15" s="24"/>
      <c r="D15" s="24"/>
      <c r="E15" s="24"/>
      <c r="F15" s="64">
        <f t="shared" si="0"/>
        <v>0</v>
      </c>
      <c r="G15" s="64">
        <f t="shared" si="1"/>
        <v>0</v>
      </c>
      <c r="H15" s="64">
        <f t="shared" si="2"/>
        <v>0</v>
      </c>
      <c r="I15" s="64">
        <f t="shared" si="3"/>
        <v>0</v>
      </c>
    </row>
    <row r="16" spans="2:14">
      <c r="B16" s="24"/>
      <c r="C16" s="24"/>
      <c r="D16" s="24"/>
      <c r="E16" s="24"/>
      <c r="F16" s="64">
        <f t="shared" si="0"/>
        <v>0</v>
      </c>
      <c r="G16" s="64">
        <f t="shared" si="1"/>
        <v>0</v>
      </c>
      <c r="H16" s="64">
        <f t="shared" si="2"/>
        <v>0</v>
      </c>
      <c r="I16" s="64">
        <f t="shared" si="3"/>
        <v>0</v>
      </c>
    </row>
    <row r="17" spans="2:9">
      <c r="B17" s="24"/>
      <c r="C17" s="24"/>
      <c r="D17" s="24"/>
      <c r="E17" s="24"/>
      <c r="F17" s="64">
        <f t="shared" si="0"/>
        <v>0</v>
      </c>
      <c r="G17" s="64">
        <f t="shared" si="1"/>
        <v>0</v>
      </c>
      <c r="H17" s="64">
        <f t="shared" si="2"/>
        <v>0</v>
      </c>
      <c r="I17" s="64">
        <f t="shared" si="3"/>
        <v>0</v>
      </c>
    </row>
    <row r="18" spans="2:9">
      <c r="B18" s="24"/>
      <c r="C18" s="24"/>
      <c r="D18" s="24"/>
      <c r="E18" s="24"/>
      <c r="F18" s="64">
        <f t="shared" si="0"/>
        <v>0</v>
      </c>
      <c r="G18" s="64">
        <f t="shared" si="1"/>
        <v>0</v>
      </c>
      <c r="H18" s="64">
        <f t="shared" si="2"/>
        <v>0</v>
      </c>
      <c r="I18" s="64">
        <f t="shared" si="3"/>
        <v>0</v>
      </c>
    </row>
    <row r="19" spans="2:9">
      <c r="B19" s="24"/>
      <c r="C19" s="24"/>
      <c r="D19" s="24"/>
      <c r="E19" s="24"/>
      <c r="F19" s="64">
        <f t="shared" si="0"/>
        <v>0</v>
      </c>
      <c r="G19" s="64">
        <f t="shared" si="1"/>
        <v>0</v>
      </c>
      <c r="H19" s="64">
        <f t="shared" si="2"/>
        <v>0</v>
      </c>
      <c r="I19" s="64">
        <f t="shared" si="3"/>
        <v>0</v>
      </c>
    </row>
    <row r="20" spans="2:9">
      <c r="B20" s="24"/>
      <c r="C20" s="24"/>
      <c r="D20" s="24"/>
      <c r="E20" s="24"/>
      <c r="F20" s="64">
        <f t="shared" si="0"/>
        <v>0</v>
      </c>
      <c r="G20" s="64">
        <f t="shared" si="1"/>
        <v>0</v>
      </c>
      <c r="H20" s="64">
        <f t="shared" si="2"/>
        <v>0</v>
      </c>
      <c r="I20" s="64">
        <f t="shared" si="3"/>
        <v>0</v>
      </c>
    </row>
    <row r="21" spans="2:9">
      <c r="B21" s="24"/>
      <c r="C21" s="24"/>
      <c r="D21" s="24"/>
      <c r="E21" s="24"/>
      <c r="F21" s="64">
        <f t="shared" si="0"/>
        <v>0</v>
      </c>
      <c r="G21" s="64">
        <f t="shared" si="1"/>
        <v>0</v>
      </c>
      <c r="H21" s="64">
        <f t="shared" si="2"/>
        <v>0</v>
      </c>
      <c r="I21" s="64">
        <f t="shared" si="3"/>
        <v>0</v>
      </c>
    </row>
    <row r="22" spans="2:9">
      <c r="B22" s="24"/>
      <c r="C22" s="24"/>
      <c r="D22" s="24"/>
      <c r="E22" s="24"/>
      <c r="F22" s="64">
        <f t="shared" si="0"/>
        <v>0</v>
      </c>
      <c r="G22" s="64">
        <f t="shared" si="1"/>
        <v>0</v>
      </c>
      <c r="H22" s="64">
        <f t="shared" si="2"/>
        <v>0</v>
      </c>
      <c r="I22" s="64">
        <f t="shared" si="3"/>
        <v>0</v>
      </c>
    </row>
    <row r="23" spans="2:9">
      <c r="B23" s="24"/>
      <c r="C23" s="24"/>
      <c r="D23" s="24"/>
      <c r="E23" s="24"/>
      <c r="F23" s="64">
        <f t="shared" si="0"/>
        <v>0</v>
      </c>
      <c r="G23" s="64">
        <f t="shared" si="1"/>
        <v>0</v>
      </c>
      <c r="H23" s="64">
        <f t="shared" si="2"/>
        <v>0</v>
      </c>
      <c r="I23" s="64">
        <f t="shared" si="3"/>
        <v>0</v>
      </c>
    </row>
    <row r="24" spans="2:9">
      <c r="B24" s="24"/>
      <c r="C24" s="24"/>
      <c r="D24" s="24"/>
      <c r="E24" s="24"/>
      <c r="F24" s="64">
        <f t="shared" si="0"/>
        <v>0</v>
      </c>
      <c r="G24" s="64">
        <f t="shared" si="1"/>
        <v>0</v>
      </c>
      <c r="H24" s="64">
        <f t="shared" si="2"/>
        <v>0</v>
      </c>
      <c r="I24" s="64">
        <f t="shared" si="3"/>
        <v>0</v>
      </c>
    </row>
    <row r="25" spans="2:9">
      <c r="B25" s="24"/>
      <c r="C25" s="24"/>
      <c r="D25" s="24"/>
      <c r="E25" s="24"/>
      <c r="F25" s="64">
        <f t="shared" si="0"/>
        <v>0</v>
      </c>
      <c r="G25" s="64">
        <f t="shared" si="1"/>
        <v>0</v>
      </c>
      <c r="H25" s="64">
        <f t="shared" si="2"/>
        <v>0</v>
      </c>
      <c r="I25" s="64">
        <f t="shared" si="3"/>
        <v>0</v>
      </c>
    </row>
    <row r="26" spans="2:9">
      <c r="B26" s="24"/>
      <c r="C26" s="24"/>
      <c r="D26" s="24"/>
      <c r="E26" s="24"/>
      <c r="F26" s="64">
        <f t="shared" si="0"/>
        <v>0</v>
      </c>
      <c r="G26" s="64">
        <f t="shared" si="1"/>
        <v>0</v>
      </c>
      <c r="H26" s="64">
        <f t="shared" si="2"/>
        <v>0</v>
      </c>
      <c r="I26" s="64">
        <f t="shared" si="3"/>
        <v>0</v>
      </c>
    </row>
    <row r="27" spans="2:9">
      <c r="B27" s="24"/>
      <c r="C27" s="24"/>
      <c r="D27" s="24"/>
      <c r="E27" s="24"/>
      <c r="F27" s="64">
        <f t="shared" si="0"/>
        <v>0</v>
      </c>
      <c r="G27" s="64">
        <f t="shared" si="1"/>
        <v>0</v>
      </c>
      <c r="H27" s="64">
        <f t="shared" si="2"/>
        <v>0</v>
      </c>
      <c r="I27" s="64">
        <f t="shared" si="3"/>
        <v>0</v>
      </c>
    </row>
    <row r="28" spans="2:9">
      <c r="B28" s="24"/>
      <c r="C28" s="24"/>
      <c r="D28" s="24"/>
      <c r="E28" s="24"/>
      <c r="F28" s="64">
        <f t="shared" si="0"/>
        <v>0</v>
      </c>
      <c r="G28" s="64">
        <f t="shared" si="1"/>
        <v>0</v>
      </c>
      <c r="H28" s="64">
        <f t="shared" si="2"/>
        <v>0</v>
      </c>
      <c r="I28" s="64">
        <f t="shared" si="3"/>
        <v>0</v>
      </c>
    </row>
    <row r="29" spans="2:9">
      <c r="B29" s="24"/>
      <c r="C29" s="24"/>
      <c r="D29" s="24"/>
      <c r="E29" s="24"/>
      <c r="F29" s="64">
        <f t="shared" si="0"/>
        <v>0</v>
      </c>
      <c r="G29" s="64">
        <f t="shared" si="1"/>
        <v>0</v>
      </c>
      <c r="H29" s="64">
        <f t="shared" si="2"/>
        <v>0</v>
      </c>
      <c r="I29" s="64">
        <f t="shared" si="3"/>
        <v>0</v>
      </c>
    </row>
    <row r="30" spans="2:9">
      <c r="B30" s="24"/>
      <c r="C30" s="24"/>
      <c r="D30" s="24"/>
      <c r="E30" s="24"/>
      <c r="F30" s="64">
        <f t="shared" si="0"/>
        <v>0</v>
      </c>
      <c r="G30" s="64">
        <f t="shared" si="1"/>
        <v>0</v>
      </c>
      <c r="H30" s="64">
        <f t="shared" si="2"/>
        <v>0</v>
      </c>
      <c r="I30" s="64">
        <f t="shared" si="3"/>
        <v>0</v>
      </c>
    </row>
    <row r="31" spans="2:9">
      <c r="B31" s="24"/>
      <c r="C31" s="24"/>
      <c r="D31" s="24"/>
      <c r="E31" s="24"/>
      <c r="F31" s="64">
        <f t="shared" si="0"/>
        <v>0</v>
      </c>
      <c r="G31" s="64">
        <f t="shared" si="1"/>
        <v>0</v>
      </c>
      <c r="H31" s="64">
        <f t="shared" si="2"/>
        <v>0</v>
      </c>
      <c r="I31" s="64">
        <f t="shared" si="3"/>
        <v>0</v>
      </c>
    </row>
    <row r="32" spans="2:9">
      <c r="B32" s="24"/>
      <c r="C32" s="24"/>
      <c r="D32" s="24"/>
      <c r="E32" s="24"/>
      <c r="F32" s="64">
        <f t="shared" si="0"/>
        <v>0</v>
      </c>
      <c r="G32" s="64">
        <f t="shared" si="1"/>
        <v>0</v>
      </c>
      <c r="H32" s="64">
        <f t="shared" si="2"/>
        <v>0</v>
      </c>
      <c r="I32" s="64">
        <f t="shared" si="3"/>
        <v>0</v>
      </c>
    </row>
    <row r="33" spans="2:9">
      <c r="B33" s="24"/>
      <c r="C33" s="24"/>
      <c r="D33" s="24"/>
      <c r="E33" s="24"/>
      <c r="F33" s="64">
        <f t="shared" si="0"/>
        <v>0</v>
      </c>
      <c r="G33" s="64">
        <f t="shared" si="1"/>
        <v>0</v>
      </c>
      <c r="H33" s="64">
        <f t="shared" si="2"/>
        <v>0</v>
      </c>
      <c r="I33" s="64">
        <f t="shared" si="3"/>
        <v>0</v>
      </c>
    </row>
    <row r="34" spans="2:9">
      <c r="B34" s="24"/>
      <c r="C34" s="24"/>
      <c r="D34" s="24"/>
      <c r="E34" s="24"/>
      <c r="F34" s="64">
        <f t="shared" si="0"/>
        <v>0</v>
      </c>
      <c r="G34" s="64">
        <f t="shared" si="1"/>
        <v>0</v>
      </c>
      <c r="H34" s="64">
        <f t="shared" si="2"/>
        <v>0</v>
      </c>
      <c r="I34" s="64">
        <f t="shared" si="3"/>
        <v>0</v>
      </c>
    </row>
    <row r="35" spans="2:9">
      <c r="B35" s="24"/>
      <c r="C35" s="24"/>
      <c r="D35" s="24"/>
      <c r="E35" s="24"/>
      <c r="F35" s="64">
        <f t="shared" si="0"/>
        <v>0</v>
      </c>
      <c r="G35" s="64">
        <f t="shared" si="1"/>
        <v>0</v>
      </c>
      <c r="H35" s="64">
        <f t="shared" si="2"/>
        <v>0</v>
      </c>
      <c r="I35" s="64">
        <f t="shared" si="3"/>
        <v>0</v>
      </c>
    </row>
    <row r="40" spans="2:9">
      <c r="C40" s="89"/>
      <c r="D40" s="89"/>
      <c r="E40" s="89"/>
    </row>
    <row r="41" spans="2:9">
      <c r="B41" s="14"/>
      <c r="C41" s="89"/>
      <c r="D41" s="89"/>
      <c r="E41" s="89"/>
    </row>
    <row r="42" spans="2:9">
      <c r="B42" s="14"/>
      <c r="C42" s="89"/>
      <c r="D42" s="89"/>
      <c r="E42" s="89"/>
    </row>
    <row r="43" spans="2:9">
      <c r="B43" s="14"/>
      <c r="C43" s="89"/>
      <c r="D43" s="89"/>
      <c r="E43" s="89"/>
    </row>
    <row r="44" spans="2:9">
      <c r="B44" s="14"/>
      <c r="C44" s="89"/>
      <c r="D44" s="89"/>
      <c r="E44" s="89"/>
    </row>
    <row r="45" spans="2:9">
      <c r="B45" s="14"/>
      <c r="C45" s="89"/>
      <c r="D45" s="89"/>
      <c r="E45" s="89"/>
    </row>
  </sheetData>
  <conditionalFormatting sqref="E41:E45">
    <cfRule type="expression" dxfId="67" priority="1">
      <formula>D41&lt;C41</formula>
    </cfRule>
  </conditionalFormatting>
  <dataValidations disablePrompts="1" count="1">
    <dataValidation type="list" allowBlank="1" showInputMessage="1" showErrorMessage="1" sqref="D4:D39" xr:uid="{F8D686A3-FE66-4076-AD7B-C5AD01826D0B}">
      <formula1>"Low, Med, High"</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593F80B7-44EF-45F8-A58C-6F8E9FD598B3}">
          <x14:formula1>
            <xm:f>Helper3!$A$2:$A$34</xm:f>
          </x14:formula1>
          <xm:sqref>B4:B35</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48424-8DCA-4C92-B9B0-2160F09689B8}">
  <dimension ref="A2:BF66"/>
  <sheetViews>
    <sheetView tabSelected="1" topLeftCell="A35" zoomScaleNormal="100" workbookViewId="0">
      <selection activeCell="D34" sqref="D34"/>
    </sheetView>
  </sheetViews>
  <sheetFormatPr defaultColWidth="9.140625" defaultRowHeight="14.25" customHeight="1" outlineLevelRow="1" outlineLevelCol="1"/>
  <cols>
    <col min="1" max="1" width="16.85546875" style="125" customWidth="1"/>
    <col min="2" max="2" width="19.7109375" style="125" customWidth="1"/>
    <col min="3" max="3" width="33.7109375" style="125" customWidth="1"/>
    <col min="4" max="4" width="34.42578125" style="125" customWidth="1"/>
    <col min="5" max="5" width="32.7109375" style="125" hidden="1" customWidth="1"/>
    <col min="6" max="6" width="32.28515625" style="125" hidden="1" customWidth="1"/>
    <col min="7" max="7" width="17.140625" style="125" hidden="1" customWidth="1" outlineLevel="1"/>
    <col min="8" max="8" width="36.5703125" style="125" hidden="1" customWidth="1" outlineLevel="1"/>
    <col min="9" max="9" width="14.85546875" style="125" customWidth="1" collapsed="1"/>
    <col min="10" max="12" width="14.85546875" style="125" hidden="1" customWidth="1" outlineLevel="1"/>
    <col min="13" max="13" width="20.85546875" style="125" hidden="1" customWidth="1" outlineLevel="1"/>
    <col min="14" max="14" width="22.42578125" style="125" hidden="1" customWidth="1" outlineLevel="1"/>
    <col min="15" max="17" width="14.85546875" style="125" hidden="1" customWidth="1" outlineLevel="1"/>
    <col min="18" max="18" width="11.7109375" style="125" customWidth="1" collapsed="1"/>
    <col min="19" max="46" width="11.7109375" style="125" customWidth="1"/>
    <col min="47" max="50" width="10.42578125" style="125" customWidth="1"/>
    <col min="51" max="51" width="10.140625" style="125" customWidth="1"/>
    <col min="52" max="52" width="10.42578125" style="125" customWidth="1"/>
    <col min="53" max="53" width="10.28515625" style="125" customWidth="1"/>
    <col min="54" max="54" width="10.5703125" style="125" customWidth="1"/>
    <col min="55" max="55" width="11.42578125" style="125" customWidth="1"/>
    <col min="56" max="58" width="9.42578125" style="125" bestFit="1" customWidth="1"/>
    <col min="59" max="16384" width="9.140625" style="125"/>
  </cols>
  <sheetData>
    <row r="2" spans="1:58" ht="14.25" hidden="1" customHeight="1" outlineLevel="1">
      <c r="A2" s="32" t="s">
        <v>0</v>
      </c>
      <c r="B2" s="23"/>
      <c r="C2" s="169" t="s">
        <v>369</v>
      </c>
      <c r="D2" s="170">
        <f>B7+B11</f>
        <v>3402609.9999999995</v>
      </c>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row>
    <row r="3" spans="1:58" ht="14.25" hidden="1" customHeight="1" outlineLevel="1">
      <c r="A3" s="32" t="s">
        <v>1</v>
      </c>
      <c r="B3" s="2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row>
    <row r="4" spans="1:58" ht="14.25" hidden="1" customHeight="1" outlineLevel="1">
      <c r="A4" s="32" t="s">
        <v>2</v>
      </c>
      <c r="B4" s="33"/>
      <c r="C4" s="115" t="s">
        <v>3</v>
      </c>
      <c r="D4" s="29"/>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row>
    <row r="5" spans="1:58" ht="14.25" hidden="1" customHeight="1" outlineLevel="1">
      <c r="A5" s="32" t="s">
        <v>4</v>
      </c>
      <c r="B5" s="25"/>
      <c r="C5" s="115" t="s">
        <v>5</v>
      </c>
      <c r="D5" s="23"/>
      <c r="E5" s="3"/>
      <c r="F5" s="3"/>
      <c r="G5" s="3"/>
      <c r="H5" s="7"/>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row>
    <row r="6" spans="1:58" ht="14.25" hidden="1" customHeight="1" outlineLevel="1">
      <c r="A6" s="32" t="str">
        <f>IF($B$5=0,"No Price to Win",IF($B$7&gt;$B$5,"Over Price To Win by ","Under Price To Win by "))</f>
        <v>No Price to Win</v>
      </c>
      <c r="B6" s="77" t="str">
        <f>IF($B$5=0,"-",$B$7-$B$5)</f>
        <v>-</v>
      </c>
      <c r="C6" s="32" t="s">
        <v>6</v>
      </c>
      <c r="D6" s="79">
        <f>SUMPRODUCT(O20:O50,Q20:Q50)</f>
        <v>0.33650006796064735</v>
      </c>
      <c r="E6" s="3"/>
      <c r="F6" s="7" t="s">
        <v>7</v>
      </c>
      <c r="G6" s="3" t="s">
        <v>370</v>
      </c>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row>
    <row r="7" spans="1:58" ht="14.25" hidden="1" customHeight="1" outlineLevel="1">
      <c r="A7" s="32" t="s">
        <v>8</v>
      </c>
      <c r="B7" s="78">
        <f>SUMIF(M20:M50,"&gt;0")</f>
        <v>3242609.9999999995</v>
      </c>
      <c r="C7" s="32" t="s">
        <v>9</v>
      </c>
      <c r="D7" s="79">
        <f>D6-0.267</f>
        <v>6.9500067960647338E-2</v>
      </c>
      <c r="E7" s="90" t="str" cm="1">
        <f t="array" ref="E7:E11">Helper3!A2:A6</f>
        <v>Infrastructure</v>
      </c>
      <c r="F7" s="3" cm="1">
        <f t="array" ref="F7">IFERROR(SUM(_xlfn._xlws.FILTER($R$20:$AT$50,$F$20:$F$50=E7)),0)</f>
        <v>0</v>
      </c>
      <c r="G7" s="171">
        <f>F7/$F12*100</f>
        <v>0</v>
      </c>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row>
    <row r="8" spans="1:58" ht="14.25" hidden="1" customHeight="1" outlineLevel="1">
      <c r="A8" s="32" t="s">
        <v>10</v>
      </c>
      <c r="B8" s="78">
        <f>SUMIF(N21:N51,"&gt;0")</f>
        <v>2099055.4146301257</v>
      </c>
      <c r="C8" s="32" t="s">
        <v>11</v>
      </c>
      <c r="D8" s="80">
        <f>'CS Staffing Plan UPDATED'!D19</f>
        <v>0.15597706785583224</v>
      </c>
      <c r="E8" s="90" t="str">
        <v>AI</v>
      </c>
      <c r="F8" s="3" cm="1">
        <f t="array" ref="F8">IFERROR(SUM(_xlfn._xlws.FILTER($R$20:$AT$50,$F$20:$F$50=E8)),0)</f>
        <v>3591</v>
      </c>
      <c r="G8" s="171">
        <f>F8/$F12*100</f>
        <v>25.660997570387305</v>
      </c>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row>
    <row r="9" spans="1:58" ht="14.25" hidden="1" customHeight="1" outlineLevel="1">
      <c r="A9" s="3"/>
      <c r="B9" s="3"/>
      <c r="C9" s="32" t="s">
        <v>12</v>
      </c>
      <c r="D9" s="81">
        <f ca="1">SUMIF(G20:I50,"Partner",Q20:Q24)</f>
        <v>0</v>
      </c>
      <c r="E9" s="90" t="str">
        <v>Development</v>
      </c>
      <c r="F9" s="3" cm="1">
        <f t="array" ref="F9">IFERROR(SUM(_xlfn._xlws.FILTER($R$20:$AT$50,$F$20:$F$50=E9)),0)</f>
        <v>10208</v>
      </c>
      <c r="G9" s="171">
        <f>F9/$F12*100</f>
        <v>72.945548092039445</v>
      </c>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row>
    <row r="10" spans="1:58" ht="14.25" hidden="1" customHeight="1" outlineLevel="1">
      <c r="A10" s="32" t="s">
        <v>13</v>
      </c>
      <c r="B10" s="78" t="str">
        <f>CONCATENATE(TEXT(B15*B7,"$#,##0" )," at ", TEXT('CS Staffing Plan UPDATED'!B15,"0%"))</f>
        <v>$0 at 0%</v>
      </c>
      <c r="C10" s="32" t="s">
        <v>14</v>
      </c>
      <c r="D10" s="82">
        <f>SUM(I20:I50)</f>
        <v>15872</v>
      </c>
      <c r="E10" s="90" t="str">
        <v>Security</v>
      </c>
      <c r="F10" s="3" cm="1">
        <f t="array" ref="F10">IFERROR(SUM(_xlfn._xlws.FILTER($R$20:$AT$50,$F$20:$F$50=E10)),0)</f>
        <v>195</v>
      </c>
      <c r="G10" s="171">
        <f>F10/$F12*100</f>
        <v>1.3934543375732455</v>
      </c>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row>
    <row r="11" spans="1:58" ht="14.25" hidden="1" customHeight="1" outlineLevel="1">
      <c r="A11" s="32" t="s">
        <v>15</v>
      </c>
      <c r="B11" s="78">
        <v>160000</v>
      </c>
      <c r="C11" s="32" t="s">
        <v>16</v>
      </c>
      <c r="D11" s="83" t="str">
        <f>CONCATENATE("Low: $",CEILING(B7,1000)," - High: $",CEILING((B7*1.2),1000))</f>
        <v>Low: $3243000 - High: $3892000</v>
      </c>
      <c r="E11" s="90" t="str">
        <v>ASCM</v>
      </c>
      <c r="F11" s="3" cm="1">
        <f t="array" ref="F11">IFERROR(SUM(_xlfn._xlws.FILTER($R$20:$AT$50,$F$20:$F$50=E11)),0)</f>
        <v>0</v>
      </c>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row>
    <row r="12" spans="1:58" ht="14.25" hidden="1" customHeight="1" outlineLevel="1">
      <c r="A12" s="3"/>
      <c r="B12" s="3"/>
      <c r="C12" s="3"/>
      <c r="D12" s="3"/>
      <c r="E12" s="3"/>
      <c r="F12" s="3">
        <f>SUM(F7:F10)</f>
        <v>13994</v>
      </c>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row>
    <row r="13" spans="1:58" ht="14.25" hidden="1" customHeight="1" outlineLevel="1">
      <c r="A13" s="86" t="s">
        <v>17</v>
      </c>
      <c r="B13" s="16"/>
      <c r="C13" s="87" t="s">
        <v>18</v>
      </c>
      <c r="D13" s="15"/>
      <c r="E13" s="15"/>
      <c r="F13" s="15"/>
      <c r="G13" s="15"/>
      <c r="H13" s="15"/>
      <c r="I13" s="15"/>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row>
    <row r="14" spans="1:58" ht="14.1" hidden="1" customHeight="1" outlineLevel="1">
      <c r="A14" s="17" t="s">
        <v>19</v>
      </c>
      <c r="B14" s="23"/>
      <c r="C14" s="176" t="s">
        <v>20</v>
      </c>
      <c r="D14" s="176"/>
      <c r="E14" s="177" t="s">
        <v>21</v>
      </c>
      <c r="F14" s="177"/>
      <c r="G14" s="177"/>
      <c r="H14" s="177"/>
      <c r="I14" s="177"/>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row>
    <row r="15" spans="1:58" ht="14.1" hidden="1" customHeight="1" outlineLevel="1">
      <c r="A15" s="17" t="s">
        <v>22</v>
      </c>
      <c r="B15" s="29"/>
      <c r="C15" s="176" t="s">
        <v>23</v>
      </c>
      <c r="D15" s="176"/>
      <c r="E15" s="178" t="s">
        <v>24</v>
      </c>
      <c r="F15" s="178"/>
      <c r="G15" s="178"/>
      <c r="H15" s="178"/>
      <c r="I15" s="178"/>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row>
    <row r="16" spans="1:58" ht="14.1" hidden="1" customHeight="1" outlineLevel="1">
      <c r="A16" s="17"/>
      <c r="B16" s="18"/>
      <c r="C16" s="18"/>
      <c r="D16" s="18"/>
      <c r="E16" s="18"/>
      <c r="F16" s="18"/>
      <c r="G16" s="18"/>
      <c r="H16" s="18"/>
      <c r="I16" s="18"/>
      <c r="J16" s="3"/>
      <c r="K16" s="3"/>
      <c r="L16" s="3"/>
      <c r="M16" s="3"/>
      <c r="N16" s="3"/>
      <c r="O16" s="3"/>
      <c r="P16" s="3"/>
      <c r="Q16" s="3"/>
      <c r="R16" s="172">
        <v>46197</v>
      </c>
      <c r="S16" s="172">
        <f t="shared" ref="S16:BF16" si="0">R16+7</f>
        <v>46204</v>
      </c>
      <c r="T16" s="172">
        <f t="shared" si="0"/>
        <v>46211</v>
      </c>
      <c r="U16" s="172">
        <f t="shared" si="0"/>
        <v>46218</v>
      </c>
      <c r="V16" s="172">
        <f t="shared" si="0"/>
        <v>46225</v>
      </c>
      <c r="W16" s="172">
        <f t="shared" si="0"/>
        <v>46232</v>
      </c>
      <c r="X16" s="172">
        <f t="shared" si="0"/>
        <v>46239</v>
      </c>
      <c r="Y16" s="172">
        <f t="shared" si="0"/>
        <v>46246</v>
      </c>
      <c r="Z16" s="172">
        <f t="shared" si="0"/>
        <v>46253</v>
      </c>
      <c r="AA16" s="172">
        <f t="shared" si="0"/>
        <v>46260</v>
      </c>
      <c r="AB16" s="172">
        <f t="shared" si="0"/>
        <v>46267</v>
      </c>
      <c r="AC16" s="172">
        <f t="shared" si="0"/>
        <v>46274</v>
      </c>
      <c r="AD16" s="172">
        <f t="shared" si="0"/>
        <v>46281</v>
      </c>
      <c r="AE16" s="172">
        <f t="shared" si="0"/>
        <v>46288</v>
      </c>
      <c r="AF16" s="172">
        <f t="shared" si="0"/>
        <v>46295</v>
      </c>
      <c r="AG16" s="172">
        <f t="shared" si="0"/>
        <v>46302</v>
      </c>
      <c r="AH16" s="172">
        <f t="shared" si="0"/>
        <v>46309</v>
      </c>
      <c r="AI16" s="172">
        <f t="shared" si="0"/>
        <v>46316</v>
      </c>
      <c r="AJ16" s="172">
        <f t="shared" si="0"/>
        <v>46323</v>
      </c>
      <c r="AK16" s="172">
        <f t="shared" si="0"/>
        <v>46330</v>
      </c>
      <c r="AL16" s="172">
        <f t="shared" si="0"/>
        <v>46337</v>
      </c>
      <c r="AM16" s="172">
        <f t="shared" si="0"/>
        <v>46344</v>
      </c>
      <c r="AN16" s="172">
        <f t="shared" si="0"/>
        <v>46351</v>
      </c>
      <c r="AO16" s="172">
        <f t="shared" si="0"/>
        <v>46358</v>
      </c>
      <c r="AP16" s="172">
        <f t="shared" si="0"/>
        <v>46365</v>
      </c>
      <c r="AQ16" s="172">
        <f t="shared" si="0"/>
        <v>46372</v>
      </c>
      <c r="AR16" s="172">
        <f t="shared" si="0"/>
        <v>46379</v>
      </c>
      <c r="AS16" s="172">
        <f t="shared" si="0"/>
        <v>46386</v>
      </c>
      <c r="AT16" s="172">
        <f t="shared" si="0"/>
        <v>46393</v>
      </c>
      <c r="AU16" s="172">
        <f t="shared" si="0"/>
        <v>46400</v>
      </c>
      <c r="AV16" s="172">
        <f t="shared" si="0"/>
        <v>46407</v>
      </c>
      <c r="AW16" s="172">
        <f t="shared" si="0"/>
        <v>46414</v>
      </c>
      <c r="AX16" s="172">
        <f t="shared" si="0"/>
        <v>46421</v>
      </c>
      <c r="AY16" s="172">
        <f t="shared" si="0"/>
        <v>46428</v>
      </c>
      <c r="AZ16" s="172">
        <f t="shared" si="0"/>
        <v>46435</v>
      </c>
      <c r="BA16" s="172">
        <f t="shared" si="0"/>
        <v>46442</v>
      </c>
      <c r="BB16" s="172">
        <f t="shared" si="0"/>
        <v>46449</v>
      </c>
      <c r="BC16" s="172">
        <f t="shared" si="0"/>
        <v>46456</v>
      </c>
      <c r="BD16" s="172">
        <f t="shared" si="0"/>
        <v>46463</v>
      </c>
      <c r="BE16" s="172">
        <f t="shared" si="0"/>
        <v>46470</v>
      </c>
      <c r="BF16" s="172">
        <f t="shared" si="0"/>
        <v>46477</v>
      </c>
    </row>
    <row r="17" spans="3:58" s="126" customFormat="1" ht="16.5" customHeight="1" collapsed="1">
      <c r="C17" s="1"/>
      <c r="D17" s="1"/>
      <c r="E17" s="1"/>
      <c r="F17" s="1"/>
      <c r="G17" s="1"/>
      <c r="H17" s="1"/>
      <c r="I17" s="1"/>
      <c r="J17" s="1"/>
      <c r="K17" s="1"/>
      <c r="L17" s="1"/>
      <c r="M17" s="1"/>
      <c r="N17" s="1"/>
      <c r="O17" s="1"/>
      <c r="P17" s="1"/>
      <c r="Q17" s="1"/>
      <c r="R17" s="55" t="s">
        <v>25</v>
      </c>
      <c r="S17" s="175" t="s">
        <v>26</v>
      </c>
      <c r="T17" s="175"/>
      <c r="U17" s="175" t="s">
        <v>27</v>
      </c>
      <c r="V17" s="175"/>
      <c r="W17" s="175" t="s">
        <v>28</v>
      </c>
      <c r="X17" s="175"/>
      <c r="Y17" s="175" t="s">
        <v>29</v>
      </c>
      <c r="Z17" s="175"/>
      <c r="AA17" s="175" t="s">
        <v>30</v>
      </c>
      <c r="AB17" s="175"/>
      <c r="AC17" s="175" t="s">
        <v>31</v>
      </c>
      <c r="AD17" s="175"/>
      <c r="AE17" s="175" t="s">
        <v>371</v>
      </c>
      <c r="AF17" s="175"/>
      <c r="AG17" s="175" t="s">
        <v>372</v>
      </c>
      <c r="AH17" s="175"/>
      <c r="AI17" s="175" t="s">
        <v>373</v>
      </c>
      <c r="AJ17" s="175"/>
      <c r="AK17" s="175" t="s">
        <v>374</v>
      </c>
      <c r="AL17" s="175"/>
      <c r="AM17" s="175" t="s">
        <v>375</v>
      </c>
      <c r="AN17" s="175"/>
      <c r="AO17" s="175" t="s">
        <v>376</v>
      </c>
      <c r="AP17" s="175"/>
      <c r="AQ17" s="175" t="s">
        <v>377</v>
      </c>
      <c r="AR17" s="175"/>
      <c r="AS17" s="118"/>
      <c r="AT17" s="119"/>
      <c r="AU17" s="118"/>
      <c r="AV17" s="118"/>
      <c r="AW17" s="118"/>
      <c r="AX17" s="118"/>
      <c r="AY17" s="118"/>
      <c r="AZ17" s="118"/>
      <c r="BA17" s="119"/>
      <c r="BB17" s="118"/>
      <c r="BC17" s="118"/>
      <c r="BD17" s="118"/>
      <c r="BE17" s="118"/>
      <c r="BF17" s="118"/>
    </row>
    <row r="18" spans="3:58" s="127" customFormat="1" ht="30">
      <c r="C18" s="100" t="s">
        <v>32</v>
      </c>
      <c r="D18" s="101" t="s">
        <v>33</v>
      </c>
      <c r="E18" s="102" t="s">
        <v>34</v>
      </c>
      <c r="F18" s="102" t="s">
        <v>35</v>
      </c>
      <c r="G18" s="101" t="s">
        <v>36</v>
      </c>
      <c r="H18" s="102" t="s">
        <v>37</v>
      </c>
      <c r="I18" s="101" t="s">
        <v>14</v>
      </c>
      <c r="J18" s="101" t="s">
        <v>38</v>
      </c>
      <c r="K18" s="103" t="s">
        <v>39</v>
      </c>
      <c r="L18" s="101" t="s">
        <v>40</v>
      </c>
      <c r="M18" s="101" t="s">
        <v>8</v>
      </c>
      <c r="N18" s="101" t="s">
        <v>41</v>
      </c>
      <c r="O18" s="101" t="s">
        <v>42</v>
      </c>
      <c r="P18" s="104" t="s">
        <v>43</v>
      </c>
      <c r="Q18" s="105" t="s">
        <v>44</v>
      </c>
      <c r="R18" s="100" t="s">
        <v>45</v>
      </c>
      <c r="S18" s="101" t="s">
        <v>46</v>
      </c>
      <c r="T18" s="101" t="s">
        <v>47</v>
      </c>
      <c r="U18" s="101" t="s">
        <v>48</v>
      </c>
      <c r="V18" s="101" t="s">
        <v>49</v>
      </c>
      <c r="W18" s="101" t="s">
        <v>50</v>
      </c>
      <c r="X18" s="101" t="s">
        <v>51</v>
      </c>
      <c r="Y18" s="101" t="s">
        <v>52</v>
      </c>
      <c r="Z18" s="101" t="s">
        <v>53</v>
      </c>
      <c r="AA18" s="101" t="s">
        <v>54</v>
      </c>
      <c r="AB18" s="101" t="s">
        <v>55</v>
      </c>
      <c r="AC18" s="101" t="s">
        <v>56</v>
      </c>
      <c r="AD18" s="101" t="s">
        <v>57</v>
      </c>
      <c r="AE18" s="101" t="s">
        <v>58</v>
      </c>
      <c r="AF18" s="101" t="s">
        <v>59</v>
      </c>
      <c r="AG18" s="101" t="s">
        <v>60</v>
      </c>
      <c r="AH18" s="101" t="s">
        <v>61</v>
      </c>
      <c r="AI18" s="101" t="s">
        <v>62</v>
      </c>
      <c r="AJ18" s="101" t="s">
        <v>63</v>
      </c>
      <c r="AK18" s="101" t="s">
        <v>64</v>
      </c>
      <c r="AL18" s="101" t="s">
        <v>65</v>
      </c>
      <c r="AM18" s="101" t="s">
        <v>66</v>
      </c>
      <c r="AN18" s="101" t="s">
        <v>67</v>
      </c>
      <c r="AO18" s="101" t="s">
        <v>68</v>
      </c>
      <c r="AP18" s="101" t="s">
        <v>69</v>
      </c>
      <c r="AQ18" s="101" t="s">
        <v>70</v>
      </c>
      <c r="AR18" s="101" t="s">
        <v>71</v>
      </c>
      <c r="AS18" s="103" t="s">
        <v>72</v>
      </c>
      <c r="AT18" s="103" t="s">
        <v>73</v>
      </c>
      <c r="AU18" s="103" t="s">
        <v>74</v>
      </c>
      <c r="AV18" s="103" t="s">
        <v>75</v>
      </c>
      <c r="AW18" s="103" t="s">
        <v>76</v>
      </c>
      <c r="AX18" s="103" t="s">
        <v>77</v>
      </c>
      <c r="AY18" s="103" t="s">
        <v>78</v>
      </c>
      <c r="AZ18" s="103" t="s">
        <v>79</v>
      </c>
      <c r="BA18" s="103" t="s">
        <v>80</v>
      </c>
      <c r="BB18" s="103" t="s">
        <v>81</v>
      </c>
      <c r="BC18" s="103" t="s">
        <v>82</v>
      </c>
      <c r="BD18" s="103" t="s">
        <v>83</v>
      </c>
      <c r="BE18" s="103" t="s">
        <v>84</v>
      </c>
      <c r="BF18" s="101" t="s">
        <v>85</v>
      </c>
    </row>
    <row r="19" spans="3:58" s="127" customFormat="1" ht="15">
      <c r="C19" s="19" t="s">
        <v>91</v>
      </c>
      <c r="D19" s="28">
        <f>SUM(Q20:Q24)</f>
        <v>0.15597706785583224</v>
      </c>
      <c r="E19" s="19"/>
      <c r="F19" s="19"/>
      <c r="G19" s="19"/>
      <c r="H19" s="19"/>
      <c r="I19" s="19"/>
      <c r="J19" s="19"/>
      <c r="K19" s="19"/>
      <c r="L19" s="19"/>
      <c r="M19" s="19"/>
      <c r="N19" s="19"/>
      <c r="O19" s="19"/>
      <c r="P19" s="19"/>
      <c r="Q19" s="43"/>
      <c r="R19" s="173">
        <v>46209</v>
      </c>
      <c r="S19" s="173">
        <v>46216</v>
      </c>
      <c r="T19" s="173">
        <v>46223</v>
      </c>
      <c r="U19" s="173">
        <v>46230</v>
      </c>
      <c r="V19" s="173">
        <v>46237</v>
      </c>
      <c r="W19" s="173">
        <v>46244</v>
      </c>
      <c r="X19" s="173">
        <v>46251</v>
      </c>
      <c r="Y19" s="173">
        <v>46258</v>
      </c>
      <c r="Z19" s="173">
        <v>46265</v>
      </c>
      <c r="AA19" s="173">
        <v>46272</v>
      </c>
      <c r="AB19" s="173">
        <v>46279</v>
      </c>
      <c r="AC19" s="173">
        <v>46286</v>
      </c>
      <c r="AD19" s="173">
        <v>46293</v>
      </c>
      <c r="AE19" s="173">
        <v>46300</v>
      </c>
      <c r="AF19" s="173">
        <v>46307</v>
      </c>
      <c r="AG19" s="173">
        <v>46314</v>
      </c>
      <c r="AH19" s="173">
        <v>46321</v>
      </c>
      <c r="AI19" s="173">
        <v>46328</v>
      </c>
      <c r="AJ19" s="173">
        <v>46335</v>
      </c>
      <c r="AK19" s="173">
        <v>46342</v>
      </c>
      <c r="AL19" s="173">
        <v>46349</v>
      </c>
      <c r="AM19" s="173">
        <v>46356</v>
      </c>
      <c r="AN19" s="173">
        <v>46363</v>
      </c>
      <c r="AO19" s="173">
        <v>46370</v>
      </c>
      <c r="AP19" s="173">
        <v>46377</v>
      </c>
      <c r="AQ19" s="173">
        <v>46384</v>
      </c>
      <c r="AR19" s="173">
        <v>46391</v>
      </c>
      <c r="AS19" s="19"/>
      <c r="AT19" s="19"/>
      <c r="AU19" s="19"/>
      <c r="AV19" s="19"/>
      <c r="AW19" s="19"/>
      <c r="AX19" s="19"/>
      <c r="AY19" s="19"/>
      <c r="AZ19" s="19"/>
      <c r="BA19" s="19"/>
      <c r="BB19" s="19"/>
      <c r="BC19" s="19"/>
      <c r="BD19" s="19"/>
      <c r="BE19" s="19"/>
      <c r="BF19" s="19"/>
    </row>
    <row r="20" spans="3:58" ht="15">
      <c r="C20" s="93" t="s">
        <v>92</v>
      </c>
      <c r="D20" s="56" t="s">
        <v>93</v>
      </c>
      <c r="E20" s="56" t="s">
        <v>94</v>
      </c>
      <c r="F20" s="24"/>
      <c r="G20" s="56" t="s">
        <v>257</v>
      </c>
      <c r="H20" s="23"/>
      <c r="I20" s="57">
        <f t="shared" ref="I20:I24" si="1">SUM(R20:AT20)</f>
        <v>110</v>
      </c>
      <c r="J20" s="58">
        <v>478.4</v>
      </c>
      <c r="K20" s="59">
        <f t="shared" ref="K20:K24" si="2">J20</f>
        <v>478.4</v>
      </c>
      <c r="L20" s="58">
        <v>476.51</v>
      </c>
      <c r="M20" s="58" cm="1">
        <f t="array" ref="M20">IF(Table13[[#This Row],[Total Hours]]=0,"-",SUMPRODUCT(Table13[[#This Row],[WK0]:[WK28]], Table13[[#This Row],[Bill Rate]]*IF(COLUMN(Table13[[#This Row],[WK0]:[WK28]])-COLUMN(Table13[[#This Row],[WK0]])&gt;=$D$5, 1+$D$4, 1)))</f>
        <v>52623.999999999978</v>
      </c>
      <c r="N20" s="58" cm="1">
        <f t="array" ref="N20">IF(Table13[[#This Row],[Total Hours]]=0,"-",SUMPRODUCT(Table13[[#This Row],[WK0]:[WK28]], Table13[[#This Row],[Cost Rate]]*IF(COLUMN(Table13[[#This Row],[WK0]:[WK28]])-COLUMN(Table13[[#This Row],[WK0]])&gt;=$D$5, 1+$D$4, 1)))</f>
        <v>52416.10000000002</v>
      </c>
      <c r="O20" s="60">
        <f t="shared" ref="O20:O24" si="3">IFERROR((M20-N20)/M20,"-")</f>
        <v>3.9506688963202698E-3</v>
      </c>
      <c r="P20" s="60">
        <f t="shared" ref="P20:P24" si="4">IFERROR((J20-K20)/J20,0)</f>
        <v>0</v>
      </c>
      <c r="Q20" s="53">
        <f t="shared" ref="Q20:Q24" si="5">IFERROR(M20/$B$7,0)</f>
        <v>1.6228902026453995E-2</v>
      </c>
      <c r="R20" s="48">
        <v>6</v>
      </c>
      <c r="S20" s="23">
        <v>4</v>
      </c>
      <c r="T20" s="23">
        <v>4</v>
      </c>
      <c r="U20" s="23">
        <v>4</v>
      </c>
      <c r="V20" s="23">
        <v>4</v>
      </c>
      <c r="W20" s="23">
        <v>4</v>
      </c>
      <c r="X20" s="23">
        <v>4</v>
      </c>
      <c r="Y20" s="23">
        <v>4</v>
      </c>
      <c r="Z20" s="23">
        <v>4</v>
      </c>
      <c r="AA20" s="23">
        <v>4</v>
      </c>
      <c r="AB20" s="23">
        <v>4</v>
      </c>
      <c r="AC20" s="23">
        <v>4</v>
      </c>
      <c r="AD20" s="23">
        <v>4</v>
      </c>
      <c r="AE20" s="23">
        <v>4</v>
      </c>
      <c r="AF20" s="23">
        <v>4</v>
      </c>
      <c r="AG20" s="23">
        <v>4</v>
      </c>
      <c r="AH20" s="23">
        <v>4</v>
      </c>
      <c r="AI20" s="23">
        <v>4</v>
      </c>
      <c r="AJ20" s="23">
        <v>4</v>
      </c>
      <c r="AK20" s="23">
        <v>4</v>
      </c>
      <c r="AL20" s="23">
        <v>4</v>
      </c>
      <c r="AM20" s="23">
        <v>4</v>
      </c>
      <c r="AN20" s="23">
        <v>4</v>
      </c>
      <c r="AO20" s="23">
        <v>4</v>
      </c>
      <c r="AP20" s="23">
        <v>4</v>
      </c>
      <c r="AQ20" s="23">
        <v>4</v>
      </c>
      <c r="AR20" s="23">
        <v>4</v>
      </c>
      <c r="AS20" s="23"/>
      <c r="AT20" s="23"/>
      <c r="AU20" s="23"/>
      <c r="AV20" s="23"/>
      <c r="AW20" s="23"/>
      <c r="AX20" s="23"/>
      <c r="AY20" s="23"/>
      <c r="AZ20" s="23"/>
      <c r="BA20" s="23"/>
      <c r="BB20" s="23"/>
      <c r="BC20" s="23"/>
      <c r="BD20" s="23"/>
      <c r="BE20" s="23"/>
      <c r="BF20" s="23"/>
    </row>
    <row r="21" spans="3:58" ht="15">
      <c r="C21" s="93" t="s">
        <v>95</v>
      </c>
      <c r="D21" s="56" t="s">
        <v>95</v>
      </c>
      <c r="E21" s="56" t="s">
        <v>96</v>
      </c>
      <c r="F21" s="24" t="s">
        <v>97</v>
      </c>
      <c r="G21" s="56" t="s">
        <v>257</v>
      </c>
      <c r="H21" s="23"/>
      <c r="I21" s="57">
        <f t="shared" si="1"/>
        <v>240</v>
      </c>
      <c r="J21" s="58">
        <v>520</v>
      </c>
      <c r="K21" s="59">
        <f t="shared" si="2"/>
        <v>520</v>
      </c>
      <c r="L21" s="58">
        <v>477.33</v>
      </c>
      <c r="M21" s="58" cm="1">
        <f t="array" ref="M21">IF(Table13[[#This Row],[Total Hours]]=0,"-",SUMPRODUCT(Table13[[#This Row],[WK0]:[WK28]], Table13[[#This Row],[Bill Rate]]*IF(COLUMN(Table13[[#This Row],[WK0]:[WK28]])-COLUMN(Table13[[#This Row],[WK0]])&gt;=$D$5, 1+$D$4, 1)))</f>
        <v>124800</v>
      </c>
      <c r="N21" s="58" cm="1">
        <f t="array" ref="N21">IF(Table13[[#This Row],[Total Hours]]=0,"-",SUMPRODUCT(Table13[[#This Row],[WK0]:[WK28]], Table13[[#This Row],[Cost Rate]]*IF(COLUMN(Table13[[#This Row],[WK0]:[WK28]])-COLUMN(Table13[[#This Row],[WK0]])&gt;=$D$5, 1+$D$4, 1)))</f>
        <v>114559.2</v>
      </c>
      <c r="O21" s="60">
        <f t="shared" si="3"/>
        <v>8.2057692307692331E-2</v>
      </c>
      <c r="P21" s="60">
        <f t="shared" si="4"/>
        <v>0</v>
      </c>
      <c r="Q21" s="53">
        <f t="shared" si="5"/>
        <v>3.8487514687242687E-2</v>
      </c>
      <c r="R21" s="48">
        <v>8</v>
      </c>
      <c r="S21" s="48">
        <v>16</v>
      </c>
      <c r="T21" s="48">
        <v>16</v>
      </c>
      <c r="U21" s="48">
        <v>16</v>
      </c>
      <c r="V21" s="48">
        <v>8</v>
      </c>
      <c r="W21" s="48">
        <v>8</v>
      </c>
      <c r="X21" s="48">
        <v>8</v>
      </c>
      <c r="Y21" s="48">
        <v>8</v>
      </c>
      <c r="Z21" s="48">
        <v>8</v>
      </c>
      <c r="AA21" s="48">
        <v>8</v>
      </c>
      <c r="AB21" s="48">
        <v>8</v>
      </c>
      <c r="AC21" s="48">
        <v>8</v>
      </c>
      <c r="AD21" s="48">
        <v>8</v>
      </c>
      <c r="AE21" s="48">
        <v>8</v>
      </c>
      <c r="AF21" s="48">
        <v>8</v>
      </c>
      <c r="AG21" s="48">
        <v>8</v>
      </c>
      <c r="AH21" s="48">
        <v>8</v>
      </c>
      <c r="AI21" s="48">
        <v>8</v>
      </c>
      <c r="AJ21" s="48">
        <v>8</v>
      </c>
      <c r="AK21" s="48">
        <v>8</v>
      </c>
      <c r="AL21" s="48">
        <v>8</v>
      </c>
      <c r="AM21" s="48">
        <v>8</v>
      </c>
      <c r="AN21" s="48">
        <v>8</v>
      </c>
      <c r="AO21" s="48">
        <v>8</v>
      </c>
      <c r="AP21" s="48">
        <v>8</v>
      </c>
      <c r="AQ21" s="48">
        <v>8</v>
      </c>
      <c r="AR21" s="48">
        <v>8</v>
      </c>
      <c r="AS21" s="23"/>
      <c r="AT21" s="97"/>
      <c r="AU21" s="97"/>
      <c r="AV21" s="97"/>
      <c r="AW21" s="97"/>
      <c r="AX21" s="97"/>
      <c r="AY21" s="97"/>
      <c r="AZ21" s="97"/>
      <c r="BA21" s="97"/>
      <c r="BB21" s="97"/>
      <c r="BC21" s="97"/>
      <c r="BD21" s="97"/>
      <c r="BE21" s="97"/>
      <c r="BF21" s="97"/>
    </row>
    <row r="22" spans="3:58" ht="15">
      <c r="C22" s="93" t="s">
        <v>378</v>
      </c>
      <c r="D22" s="56" t="s">
        <v>99</v>
      </c>
      <c r="E22" s="56" t="s">
        <v>100</v>
      </c>
      <c r="F22" s="24"/>
      <c r="G22" s="56" t="s">
        <v>257</v>
      </c>
      <c r="H22" s="23"/>
      <c r="I22" s="57">
        <f t="shared" si="1"/>
        <v>720</v>
      </c>
      <c r="J22" s="58">
        <v>384.8</v>
      </c>
      <c r="K22" s="59">
        <f t="shared" si="2"/>
        <v>384.8</v>
      </c>
      <c r="L22" s="58">
        <v>267.41000000000003</v>
      </c>
      <c r="M22" s="58" cm="1">
        <f t="array" ref="M22">IF(Table13[[#This Row],[Total Hours]]=0,"-",SUMPRODUCT(Table13[[#This Row],[WK0]:[WK28]], Table13[[#This Row],[Bill Rate]]*IF(COLUMN(Table13[[#This Row],[WK0]:[WK28]])-COLUMN(Table13[[#This Row],[WK0]])&gt;=$D$5, 1+$D$4, 1)))</f>
        <v>277056.00000000017</v>
      </c>
      <c r="N22" s="58" cm="1">
        <f t="array" ref="N22">IF(Table13[[#This Row],[Total Hours]]=0,"-",SUMPRODUCT(Table13[[#This Row],[WK0]:[WK28]], Table13[[#This Row],[Cost Rate]]*IF(COLUMN(Table13[[#This Row],[WK0]:[WK28]])-COLUMN(Table13[[#This Row],[WK0]])&gt;=$D$5, 1+$D$4, 1)))</f>
        <v>192535.19999999995</v>
      </c>
      <c r="O22" s="60">
        <f t="shared" si="3"/>
        <v>0.3050675675675682</v>
      </c>
      <c r="P22" s="60">
        <f t="shared" si="4"/>
        <v>0</v>
      </c>
      <c r="Q22" s="53">
        <f t="shared" si="5"/>
        <v>8.5442282605678821E-2</v>
      </c>
      <c r="R22" s="165">
        <v>16</v>
      </c>
      <c r="S22" s="23">
        <v>32</v>
      </c>
      <c r="T22" s="23">
        <v>32</v>
      </c>
      <c r="U22" s="23">
        <v>32</v>
      </c>
      <c r="V22" s="23">
        <v>32</v>
      </c>
      <c r="W22" s="23">
        <v>32</v>
      </c>
      <c r="X22" s="23">
        <v>32</v>
      </c>
      <c r="Y22" s="23">
        <v>32</v>
      </c>
      <c r="Z22" s="23">
        <v>32</v>
      </c>
      <c r="AA22" s="23">
        <v>32</v>
      </c>
      <c r="AB22" s="23">
        <v>32</v>
      </c>
      <c r="AC22" s="23">
        <v>24</v>
      </c>
      <c r="AD22" s="23">
        <v>24</v>
      </c>
      <c r="AE22" s="23">
        <v>24</v>
      </c>
      <c r="AF22" s="23">
        <v>24</v>
      </c>
      <c r="AG22" s="23">
        <v>24</v>
      </c>
      <c r="AH22" s="23">
        <v>24</v>
      </c>
      <c r="AI22" s="23">
        <v>24</v>
      </c>
      <c r="AJ22" s="23">
        <v>24</v>
      </c>
      <c r="AK22" s="23">
        <v>24</v>
      </c>
      <c r="AL22" s="23">
        <v>24</v>
      </c>
      <c r="AM22" s="23">
        <v>24</v>
      </c>
      <c r="AN22" s="23">
        <v>24</v>
      </c>
      <c r="AO22" s="23">
        <v>24</v>
      </c>
      <c r="AP22" s="23">
        <v>24</v>
      </c>
      <c r="AQ22" s="23">
        <v>24</v>
      </c>
      <c r="AR22" s="23">
        <v>24</v>
      </c>
      <c r="AS22" s="23"/>
      <c r="AT22" s="97"/>
      <c r="AU22" s="97"/>
      <c r="AV22" s="97"/>
      <c r="AW22" s="97"/>
      <c r="AX22" s="97"/>
      <c r="AY22" s="97"/>
      <c r="AZ22" s="97"/>
      <c r="BA22" s="97"/>
      <c r="BB22" s="97"/>
      <c r="BC22" s="97"/>
      <c r="BD22" s="97"/>
      <c r="BE22" s="97"/>
      <c r="BF22" s="97"/>
    </row>
    <row r="23" spans="3:58" ht="15">
      <c r="C23" s="93" t="s">
        <v>101</v>
      </c>
      <c r="D23" s="56" t="s">
        <v>102</v>
      </c>
      <c r="E23" s="56" t="s">
        <v>103</v>
      </c>
      <c r="F23" s="24"/>
      <c r="G23" s="56" t="s">
        <v>379</v>
      </c>
      <c r="H23" s="23"/>
      <c r="I23" s="57">
        <f t="shared" si="1"/>
        <v>480</v>
      </c>
      <c r="J23" s="58">
        <v>93.6</v>
      </c>
      <c r="K23" s="59">
        <f t="shared" si="2"/>
        <v>93.6</v>
      </c>
      <c r="L23" s="58">
        <v>55.77</v>
      </c>
      <c r="M23" s="58" cm="1">
        <f t="array" ref="M23">IF(Table13[[#This Row],[Total Hours]]=0,"-",SUMPRODUCT(Table13[[#This Row],[WK0]:[WK28]], Table13[[#This Row],[Bill Rate]]*IF(COLUMN(Table13[[#This Row],[WK0]:[WK28]])-COLUMN(Table13[[#This Row],[WK0]])&gt;=$D$5, 1+$D$4, 1)))</f>
        <v>44927.999999999971</v>
      </c>
      <c r="N23" s="58" cm="1">
        <f t="array" ref="N23">IF(Table13[[#This Row],[Total Hours]]=0,"-",SUMPRODUCT(Table13[[#This Row],[WK0]:[WK28]], Table13[[#This Row],[Cost Rate]]*IF(COLUMN(Table13[[#This Row],[WK0]:[WK28]])-COLUMN(Table13[[#This Row],[WK0]])&gt;=$D$5, 1+$D$4, 1)))</f>
        <v>26769.599999999995</v>
      </c>
      <c r="O23" s="60">
        <f t="shared" si="3"/>
        <v>0.4041666666666664</v>
      </c>
      <c r="P23" s="60">
        <f t="shared" si="4"/>
        <v>0</v>
      </c>
      <c r="Q23" s="53">
        <f t="shared" si="5"/>
        <v>1.3855505287407359E-2</v>
      </c>
      <c r="R23" s="165">
        <v>8</v>
      </c>
      <c r="S23" s="23">
        <v>24</v>
      </c>
      <c r="T23" s="23">
        <v>24</v>
      </c>
      <c r="U23" s="23">
        <v>24</v>
      </c>
      <c r="V23" s="23">
        <v>24</v>
      </c>
      <c r="W23" s="23">
        <v>24</v>
      </c>
      <c r="X23" s="23">
        <v>24</v>
      </c>
      <c r="Y23" s="23">
        <v>24</v>
      </c>
      <c r="Z23" s="23">
        <v>16</v>
      </c>
      <c r="AA23" s="23">
        <v>16</v>
      </c>
      <c r="AB23" s="23">
        <v>16</v>
      </c>
      <c r="AC23" s="23">
        <v>16</v>
      </c>
      <c r="AD23" s="23">
        <v>16</v>
      </c>
      <c r="AE23" s="23">
        <v>16</v>
      </c>
      <c r="AF23" s="23">
        <v>16</v>
      </c>
      <c r="AG23" s="23">
        <v>16</v>
      </c>
      <c r="AH23" s="23">
        <v>16</v>
      </c>
      <c r="AI23" s="23">
        <v>16</v>
      </c>
      <c r="AJ23" s="23">
        <v>16</v>
      </c>
      <c r="AK23" s="23">
        <v>16</v>
      </c>
      <c r="AL23" s="23">
        <v>16</v>
      </c>
      <c r="AM23" s="23">
        <v>16</v>
      </c>
      <c r="AN23" s="23">
        <v>16</v>
      </c>
      <c r="AO23" s="23">
        <v>16</v>
      </c>
      <c r="AP23" s="23">
        <v>16</v>
      </c>
      <c r="AQ23" s="23">
        <v>16</v>
      </c>
      <c r="AR23" s="23">
        <v>16</v>
      </c>
      <c r="AS23" s="23"/>
      <c r="AT23" s="23"/>
      <c r="AU23" s="97"/>
      <c r="AV23" s="97"/>
      <c r="AW23" s="97"/>
      <c r="AX23" s="97"/>
      <c r="AY23" s="97"/>
      <c r="AZ23" s="97"/>
      <c r="BA23" s="97"/>
      <c r="BB23" s="97"/>
      <c r="BC23" s="97"/>
      <c r="BD23" s="97"/>
      <c r="BE23" s="97"/>
      <c r="BF23" s="97"/>
    </row>
    <row r="24" spans="3:58" ht="15">
      <c r="C24" s="93" t="s">
        <v>104</v>
      </c>
      <c r="D24" s="56" t="s">
        <v>102</v>
      </c>
      <c r="E24" s="56" t="s">
        <v>105</v>
      </c>
      <c r="F24" s="24"/>
      <c r="G24" s="56" t="s">
        <v>379</v>
      </c>
      <c r="H24" s="23"/>
      <c r="I24" s="57">
        <f t="shared" si="1"/>
        <v>68</v>
      </c>
      <c r="J24" s="58">
        <v>93.6</v>
      </c>
      <c r="K24" s="59">
        <f t="shared" si="2"/>
        <v>93.6</v>
      </c>
      <c r="L24" s="58">
        <v>55.77</v>
      </c>
      <c r="M24" s="58" cm="1">
        <f t="array" ref="M24">IF(Table13[[#This Row],[Total Hours]]=0,"-",SUMPRODUCT(Table13[[#This Row],[WK0]:[WK28]], Table13[[#This Row],[Bill Rate]]*IF(COLUMN(Table13[[#This Row],[WK0]:[WK28]])-COLUMN(Table13[[#This Row],[WK0]])&gt;=$D$5, 1+$D$4, 1)))</f>
        <v>6364.8000000000029</v>
      </c>
      <c r="N24" s="58" cm="1">
        <f t="array" ref="N24">IF(Table13[[#This Row],[Total Hours]]=0,"-",SUMPRODUCT(Table13[[#This Row],[WK0]:[WK28]], Table13[[#This Row],[Cost Rate]]*IF(COLUMN(Table13[[#This Row],[WK0]:[WK28]])-COLUMN(Table13[[#This Row],[WK0]])&gt;=$D$5, 1+$D$4, 1)))</f>
        <v>3792.3599999999992</v>
      </c>
      <c r="O24" s="60">
        <f t="shared" si="3"/>
        <v>0.40416666666666706</v>
      </c>
      <c r="P24" s="60">
        <f t="shared" si="4"/>
        <v>0</v>
      </c>
      <c r="Q24" s="53">
        <f t="shared" si="5"/>
        <v>1.9628632490493779E-3</v>
      </c>
      <c r="R24" s="48"/>
      <c r="S24" s="23">
        <v>2</v>
      </c>
      <c r="T24" s="23">
        <v>2</v>
      </c>
      <c r="U24" s="23">
        <v>2</v>
      </c>
      <c r="V24" s="23">
        <v>2</v>
      </c>
      <c r="W24" s="23">
        <v>2</v>
      </c>
      <c r="X24" s="23">
        <v>2</v>
      </c>
      <c r="Y24" s="23">
        <v>2</v>
      </c>
      <c r="Z24" s="23">
        <v>2</v>
      </c>
      <c r="AA24" s="23">
        <v>2</v>
      </c>
      <c r="AB24" s="23">
        <v>2</v>
      </c>
      <c r="AC24" s="23">
        <v>3</v>
      </c>
      <c r="AD24" s="23">
        <v>3</v>
      </c>
      <c r="AE24" s="23">
        <v>3</v>
      </c>
      <c r="AF24" s="23">
        <v>3</v>
      </c>
      <c r="AG24" s="23">
        <v>3</v>
      </c>
      <c r="AH24" s="23">
        <v>3</v>
      </c>
      <c r="AI24" s="23">
        <v>3</v>
      </c>
      <c r="AJ24" s="23">
        <v>3</v>
      </c>
      <c r="AK24" s="23">
        <v>3</v>
      </c>
      <c r="AL24" s="23">
        <v>3</v>
      </c>
      <c r="AM24" s="23">
        <v>3</v>
      </c>
      <c r="AN24" s="23">
        <v>3</v>
      </c>
      <c r="AO24" s="23">
        <v>3</v>
      </c>
      <c r="AP24" s="23">
        <v>3</v>
      </c>
      <c r="AQ24" s="23">
        <v>3</v>
      </c>
      <c r="AR24" s="23">
        <v>3</v>
      </c>
      <c r="AS24" s="23"/>
      <c r="AT24" s="97"/>
      <c r="AU24" s="97"/>
      <c r="AV24" s="97"/>
      <c r="AW24" s="97"/>
      <c r="AX24" s="97"/>
      <c r="AY24" s="97"/>
      <c r="AZ24" s="97"/>
      <c r="BA24" s="97"/>
      <c r="BB24" s="97"/>
      <c r="BC24" s="97"/>
      <c r="BD24" s="97"/>
      <c r="BE24" s="97"/>
      <c r="BF24" s="97"/>
    </row>
    <row r="25" spans="3:58" ht="29.45">
      <c r="C25" s="156" t="s">
        <v>123</v>
      </c>
      <c r="D25" s="129">
        <f>SUM(Q26:Q41)</f>
        <v>0.83445397380505215</v>
      </c>
      <c r="E25" s="130"/>
      <c r="F25" s="130"/>
      <c r="G25" s="130"/>
      <c r="H25" s="130"/>
      <c r="I25" s="130"/>
      <c r="J25" s="130"/>
      <c r="K25" s="130"/>
      <c r="L25" s="130"/>
      <c r="M25" s="130"/>
      <c r="N25" s="130"/>
      <c r="O25" s="130"/>
      <c r="P25" s="130"/>
      <c r="Q25" s="131"/>
      <c r="R25" s="50"/>
      <c r="S25" s="62"/>
      <c r="T25" s="62"/>
      <c r="U25" s="62"/>
      <c r="V25" s="62"/>
      <c r="W25" s="62"/>
      <c r="X25" s="62"/>
      <c r="Y25" s="62"/>
      <c r="Z25" s="62"/>
      <c r="AA25" s="62"/>
      <c r="AB25" s="62"/>
      <c r="AC25" s="62"/>
      <c r="AD25" s="62"/>
      <c r="AE25" s="62"/>
      <c r="AF25" s="62"/>
      <c r="AG25" s="62"/>
      <c r="AH25" s="62"/>
      <c r="AI25" s="62"/>
      <c r="AJ25" s="62"/>
      <c r="AK25" s="62"/>
      <c r="AL25" s="62"/>
      <c r="AM25" s="62"/>
      <c r="AN25" s="62"/>
      <c r="AO25" s="62"/>
      <c r="AP25" s="62"/>
      <c r="AQ25" s="62"/>
      <c r="AR25" s="62"/>
      <c r="AS25" s="62"/>
      <c r="AT25" s="98"/>
      <c r="AU25" s="98"/>
      <c r="AV25" s="98"/>
      <c r="AW25" s="98"/>
      <c r="AX25" s="98"/>
      <c r="AY25" s="98"/>
      <c r="AZ25" s="98"/>
      <c r="BA25" s="98"/>
      <c r="BB25" s="98"/>
      <c r="BC25" s="98"/>
      <c r="BD25" s="98"/>
      <c r="BE25" s="98"/>
      <c r="BF25" s="98"/>
    </row>
    <row r="26" spans="3:58" ht="15">
      <c r="C26" s="96" t="s">
        <v>380</v>
      </c>
      <c r="D26" s="56" t="s">
        <v>125</v>
      </c>
      <c r="E26" s="56" t="s">
        <v>126</v>
      </c>
      <c r="F26" s="24" t="s">
        <v>97</v>
      </c>
      <c r="G26" s="167" t="s">
        <v>381</v>
      </c>
      <c r="H26" s="23" t="s">
        <v>127</v>
      </c>
      <c r="I26" s="57">
        <f t="shared" ref="I26:I33" si="6">SUM(R26:AT26)</f>
        <v>903</v>
      </c>
      <c r="J26" s="58">
        <v>500</v>
      </c>
      <c r="K26" s="59">
        <f t="shared" ref="K26:K32" si="7">J26</f>
        <v>500</v>
      </c>
      <c r="L26" s="58">
        <v>361.54</v>
      </c>
      <c r="M26" s="58">
        <f t="shared" ref="M26:M33" si="8">IF(I26=0,"-",K26*I26)</f>
        <v>451500</v>
      </c>
      <c r="N26" s="58">
        <f t="shared" ref="N26:N33" si="9">IF(I26=0,"-",L26*I26)</f>
        <v>326470.62</v>
      </c>
      <c r="O26" s="60">
        <f t="shared" ref="O26:O33" si="10">IFERROR((M26-N26)/M26,"-")</f>
        <v>0.27692</v>
      </c>
      <c r="P26" s="60">
        <f t="shared" ref="P26:P33" si="11">IFERROR((J26-K26)/J26,0)</f>
        <v>0</v>
      </c>
      <c r="Q26" s="117">
        <f t="shared" ref="Q26:Q33" si="12">IFERROR(M26/$B$7,0)</f>
        <v>0.13923968654879867</v>
      </c>
      <c r="R26" s="48">
        <v>24</v>
      </c>
      <c r="S26" s="23">
        <v>40</v>
      </c>
      <c r="T26" s="23">
        <v>40</v>
      </c>
      <c r="U26" s="23">
        <v>40</v>
      </c>
      <c r="V26" s="23">
        <v>40</v>
      </c>
      <c r="W26" s="23">
        <v>40</v>
      </c>
      <c r="X26" s="23">
        <v>39</v>
      </c>
      <c r="Y26" s="23">
        <v>32</v>
      </c>
      <c r="Z26" s="23">
        <v>32</v>
      </c>
      <c r="AA26" s="23">
        <v>32</v>
      </c>
      <c r="AB26" s="23">
        <v>32</v>
      </c>
      <c r="AC26" s="23">
        <v>32</v>
      </c>
      <c r="AD26" s="23">
        <v>32</v>
      </c>
      <c r="AE26" s="23">
        <v>32</v>
      </c>
      <c r="AF26" s="23">
        <v>32</v>
      </c>
      <c r="AG26" s="23">
        <v>32</v>
      </c>
      <c r="AH26" s="23">
        <v>32</v>
      </c>
      <c r="AI26" s="23">
        <v>32</v>
      </c>
      <c r="AJ26" s="23">
        <v>32</v>
      </c>
      <c r="AK26" s="23">
        <v>32</v>
      </c>
      <c r="AL26" s="23">
        <v>32</v>
      </c>
      <c r="AM26" s="23">
        <v>32</v>
      </c>
      <c r="AN26" s="23">
        <v>32</v>
      </c>
      <c r="AO26" s="23">
        <v>32</v>
      </c>
      <c r="AP26" s="23">
        <v>32</v>
      </c>
      <c r="AQ26" s="23">
        <v>32</v>
      </c>
      <c r="AR26" s="23">
        <v>32</v>
      </c>
      <c r="AS26" s="23"/>
      <c r="AT26" s="97"/>
      <c r="AU26" s="97"/>
      <c r="AV26" s="97"/>
      <c r="AW26" s="97"/>
      <c r="AX26" s="97"/>
      <c r="AY26" s="97"/>
      <c r="AZ26" s="97"/>
      <c r="BA26" s="97"/>
      <c r="BB26" s="97"/>
      <c r="BC26" s="97"/>
      <c r="BD26" s="97"/>
      <c r="BE26" s="97"/>
      <c r="BF26" s="97"/>
    </row>
    <row r="27" spans="3:58" ht="13.5" customHeight="1">
      <c r="C27" s="96" t="s">
        <v>382</v>
      </c>
      <c r="D27" s="56" t="s">
        <v>129</v>
      </c>
      <c r="E27" s="56" t="s">
        <v>130</v>
      </c>
      <c r="F27" s="24" t="s">
        <v>97</v>
      </c>
      <c r="G27" s="167" t="s">
        <v>383</v>
      </c>
      <c r="H27" s="23" t="s">
        <v>131</v>
      </c>
      <c r="I27" s="57">
        <f t="shared" si="6"/>
        <v>384</v>
      </c>
      <c r="J27" s="58">
        <v>416</v>
      </c>
      <c r="K27" s="59">
        <f t="shared" si="7"/>
        <v>416</v>
      </c>
      <c r="L27" s="58">
        <v>375.05</v>
      </c>
      <c r="M27" s="58">
        <f t="shared" si="8"/>
        <v>159744</v>
      </c>
      <c r="N27" s="58">
        <f t="shared" si="9"/>
        <v>144019.20000000001</v>
      </c>
      <c r="O27" s="60">
        <f t="shared" si="10"/>
        <v>9.8437499999999928E-2</v>
      </c>
      <c r="P27" s="60">
        <f t="shared" si="11"/>
        <v>0</v>
      </c>
      <c r="Q27" s="117">
        <f t="shared" si="12"/>
        <v>4.9264018799670642E-2</v>
      </c>
      <c r="R27" s="48"/>
      <c r="S27" s="23"/>
      <c r="T27" s="23"/>
      <c r="U27" s="23"/>
      <c r="V27" s="23"/>
      <c r="W27" s="23"/>
      <c r="X27" s="23"/>
      <c r="Y27" s="23"/>
      <c r="Z27" s="23"/>
      <c r="AA27" s="23"/>
      <c r="AB27" s="23"/>
      <c r="AC27" s="23"/>
      <c r="AD27" s="23"/>
      <c r="AE27" s="23">
        <v>32</v>
      </c>
      <c r="AF27" s="23">
        <v>32</v>
      </c>
      <c r="AG27" s="23">
        <v>32</v>
      </c>
      <c r="AH27" s="23">
        <v>32</v>
      </c>
      <c r="AI27" s="23">
        <v>32</v>
      </c>
      <c r="AJ27" s="23">
        <v>32</v>
      </c>
      <c r="AK27" s="23">
        <v>32</v>
      </c>
      <c r="AL27" s="23">
        <v>32</v>
      </c>
      <c r="AM27" s="23">
        <v>32</v>
      </c>
      <c r="AN27" s="23">
        <v>32</v>
      </c>
      <c r="AO27" s="23">
        <v>32</v>
      </c>
      <c r="AP27" s="23">
        <v>32</v>
      </c>
      <c r="AQ27" s="23"/>
      <c r="AR27" s="23"/>
      <c r="AS27" s="23"/>
      <c r="AT27" s="23"/>
      <c r="AU27" s="97"/>
      <c r="AV27" s="97"/>
      <c r="AW27" s="97"/>
      <c r="AX27" s="97"/>
      <c r="AY27" s="97"/>
      <c r="AZ27" s="97"/>
      <c r="BA27" s="97"/>
      <c r="BB27" s="97"/>
      <c r="BC27" s="97"/>
      <c r="BD27" s="97"/>
      <c r="BE27" s="97"/>
      <c r="BF27" s="97"/>
    </row>
    <row r="28" spans="3:58" ht="28.9">
      <c r="C28" s="96" t="s">
        <v>384</v>
      </c>
      <c r="D28" s="56" t="s">
        <v>129</v>
      </c>
      <c r="E28" s="56" t="s">
        <v>132</v>
      </c>
      <c r="F28" s="24" t="s">
        <v>97</v>
      </c>
      <c r="G28" s="167" t="s">
        <v>385</v>
      </c>
      <c r="H28" s="23" t="s">
        <v>133</v>
      </c>
      <c r="I28" s="57">
        <f t="shared" si="6"/>
        <v>840</v>
      </c>
      <c r="J28" s="58">
        <v>400</v>
      </c>
      <c r="K28" s="59">
        <f t="shared" si="7"/>
        <v>400</v>
      </c>
      <c r="L28" s="58">
        <v>312.19</v>
      </c>
      <c r="M28" s="58">
        <f t="shared" si="8"/>
        <v>336000</v>
      </c>
      <c r="N28" s="58">
        <f t="shared" si="9"/>
        <v>262239.59999999998</v>
      </c>
      <c r="O28" s="60">
        <f t="shared" si="10"/>
        <v>0.21952500000000008</v>
      </c>
      <c r="P28" s="60">
        <f t="shared" si="11"/>
        <v>0</v>
      </c>
      <c r="Q28" s="117">
        <f t="shared" si="12"/>
        <v>0.10362023185026878</v>
      </c>
      <c r="R28" s="48">
        <v>8</v>
      </c>
      <c r="S28" s="23">
        <v>40</v>
      </c>
      <c r="T28" s="23">
        <v>40</v>
      </c>
      <c r="U28" s="23">
        <v>40</v>
      </c>
      <c r="V28" s="23">
        <v>40</v>
      </c>
      <c r="W28" s="23">
        <v>32</v>
      </c>
      <c r="X28" s="23">
        <v>32</v>
      </c>
      <c r="Y28" s="23">
        <v>32</v>
      </c>
      <c r="Z28" s="23">
        <v>32</v>
      </c>
      <c r="AA28" s="23">
        <v>32</v>
      </c>
      <c r="AB28" s="23">
        <v>32</v>
      </c>
      <c r="AC28" s="23">
        <v>32</v>
      </c>
      <c r="AD28" s="23">
        <v>32</v>
      </c>
      <c r="AE28" s="23">
        <v>32</v>
      </c>
      <c r="AF28" s="23">
        <v>32</v>
      </c>
      <c r="AG28" s="23">
        <v>32</v>
      </c>
      <c r="AH28" s="23">
        <v>32</v>
      </c>
      <c r="AI28" s="23">
        <v>32</v>
      </c>
      <c r="AJ28" s="23">
        <v>32</v>
      </c>
      <c r="AK28" s="23">
        <v>32</v>
      </c>
      <c r="AL28" s="23">
        <v>32</v>
      </c>
      <c r="AM28" s="23">
        <v>32</v>
      </c>
      <c r="AN28" s="23">
        <v>32</v>
      </c>
      <c r="AO28" s="23">
        <v>24</v>
      </c>
      <c r="AP28" s="23">
        <v>24</v>
      </c>
      <c r="AQ28" s="23">
        <v>24</v>
      </c>
      <c r="AR28" s="23">
        <v>24</v>
      </c>
      <c r="AS28" s="23"/>
      <c r="AT28" s="97"/>
      <c r="AU28" s="97"/>
      <c r="AV28" s="97"/>
      <c r="AW28" s="97"/>
      <c r="AX28" s="97"/>
      <c r="AY28" s="97"/>
      <c r="AZ28" s="97"/>
      <c r="BA28" s="97"/>
      <c r="BB28" s="97"/>
      <c r="BC28" s="97"/>
      <c r="BD28" s="97"/>
      <c r="BE28" s="97"/>
      <c r="BF28" s="97"/>
    </row>
    <row r="29" spans="3:58" ht="34.5" customHeight="1">
      <c r="C29" s="174" t="s">
        <v>386</v>
      </c>
      <c r="D29" s="56" t="s">
        <v>129</v>
      </c>
      <c r="E29" s="56" t="s">
        <v>134</v>
      </c>
      <c r="F29" s="24" t="s">
        <v>97</v>
      </c>
      <c r="G29" s="167" t="s">
        <v>254</v>
      </c>
      <c r="H29" s="124" t="s">
        <v>135</v>
      </c>
      <c r="I29" s="57">
        <f t="shared" si="6"/>
        <v>840</v>
      </c>
      <c r="J29" s="58">
        <v>416</v>
      </c>
      <c r="K29" s="59">
        <f t="shared" si="7"/>
        <v>416</v>
      </c>
      <c r="L29" s="58">
        <v>312.25</v>
      </c>
      <c r="M29" s="58">
        <f t="shared" si="8"/>
        <v>349440</v>
      </c>
      <c r="N29" s="58">
        <f t="shared" si="9"/>
        <v>262290</v>
      </c>
      <c r="O29" s="60">
        <f t="shared" si="10"/>
        <v>0.24939903846153846</v>
      </c>
      <c r="P29" s="60">
        <f t="shared" si="11"/>
        <v>0</v>
      </c>
      <c r="Q29" s="117">
        <f t="shared" si="12"/>
        <v>0.10776504112427954</v>
      </c>
      <c r="R29" s="48">
        <v>8</v>
      </c>
      <c r="S29" s="23">
        <v>40</v>
      </c>
      <c r="T29" s="23">
        <v>40</v>
      </c>
      <c r="U29" s="23">
        <v>40</v>
      </c>
      <c r="V29" s="23">
        <v>40</v>
      </c>
      <c r="W29" s="23">
        <v>32</v>
      </c>
      <c r="X29" s="23">
        <v>32</v>
      </c>
      <c r="Y29" s="23">
        <v>32</v>
      </c>
      <c r="Z29" s="23">
        <v>32</v>
      </c>
      <c r="AA29" s="23">
        <v>32</v>
      </c>
      <c r="AB29" s="23">
        <v>32</v>
      </c>
      <c r="AC29" s="23">
        <v>32</v>
      </c>
      <c r="AD29" s="23">
        <v>32</v>
      </c>
      <c r="AE29" s="23">
        <v>32</v>
      </c>
      <c r="AF29" s="23">
        <v>32</v>
      </c>
      <c r="AG29" s="23">
        <v>32</v>
      </c>
      <c r="AH29" s="23">
        <v>32</v>
      </c>
      <c r="AI29" s="23">
        <v>32</v>
      </c>
      <c r="AJ29" s="23">
        <v>32</v>
      </c>
      <c r="AK29" s="23">
        <v>32</v>
      </c>
      <c r="AL29" s="23">
        <v>32</v>
      </c>
      <c r="AM29" s="23">
        <v>32</v>
      </c>
      <c r="AN29" s="23">
        <v>32</v>
      </c>
      <c r="AO29" s="23">
        <v>24</v>
      </c>
      <c r="AP29" s="23">
        <v>24</v>
      </c>
      <c r="AQ29" s="23">
        <v>24</v>
      </c>
      <c r="AR29" s="23">
        <v>24</v>
      </c>
      <c r="AS29" s="23"/>
      <c r="AT29" s="97"/>
      <c r="AU29" s="97"/>
      <c r="AV29" s="97"/>
      <c r="AW29" s="97"/>
      <c r="AX29" s="97"/>
      <c r="AY29" s="97"/>
      <c r="AZ29" s="97"/>
      <c r="BA29" s="97"/>
      <c r="BB29" s="97"/>
      <c r="BC29" s="97"/>
      <c r="BD29" s="97"/>
      <c r="BE29" s="97"/>
      <c r="BF29" s="97"/>
    </row>
    <row r="30" spans="3:58" ht="21.75" customHeight="1">
      <c r="C30" s="96" t="s">
        <v>128</v>
      </c>
      <c r="D30" s="56" t="s">
        <v>129</v>
      </c>
      <c r="E30" s="56" t="s">
        <v>136</v>
      </c>
      <c r="F30" s="24" t="s">
        <v>97</v>
      </c>
      <c r="G30" s="167" t="s">
        <v>257</v>
      </c>
      <c r="H30" s="124" t="s">
        <v>137</v>
      </c>
      <c r="I30" s="57">
        <f t="shared" si="6"/>
        <v>384</v>
      </c>
      <c r="J30" s="58">
        <f>IFERROR(VLOOKUP(D30,Rates!$A$2:$C$26,3,TRUE),"-")</f>
        <v>400</v>
      </c>
      <c r="K30" s="59">
        <f t="shared" si="7"/>
        <v>400</v>
      </c>
      <c r="L30" s="58">
        <v>128.18</v>
      </c>
      <c r="M30" s="58">
        <f>IF(I30=0,"-",K30*I30)</f>
        <v>153600</v>
      </c>
      <c r="N30" s="58">
        <f t="shared" si="9"/>
        <v>49221.120000000003</v>
      </c>
      <c r="O30" s="60">
        <f t="shared" si="10"/>
        <v>0.67954999999999999</v>
      </c>
      <c r="P30" s="60">
        <f t="shared" si="11"/>
        <v>0</v>
      </c>
      <c r="Q30" s="117">
        <f t="shared" si="12"/>
        <v>4.736924884583716E-2</v>
      </c>
      <c r="R30" s="48"/>
      <c r="S30" s="23"/>
      <c r="T30" s="23"/>
      <c r="U30" s="23"/>
      <c r="V30" s="23"/>
      <c r="W30" s="23"/>
      <c r="X30" s="23"/>
      <c r="Y30" s="23"/>
      <c r="Z30" s="23"/>
      <c r="AA30" s="23"/>
      <c r="AB30" s="23"/>
      <c r="AC30" s="23"/>
      <c r="AD30" s="23"/>
      <c r="AE30" s="23">
        <v>32</v>
      </c>
      <c r="AF30" s="23">
        <v>32</v>
      </c>
      <c r="AG30" s="23">
        <v>32</v>
      </c>
      <c r="AH30" s="23">
        <v>32</v>
      </c>
      <c r="AI30" s="23">
        <v>32</v>
      </c>
      <c r="AJ30" s="23">
        <v>32</v>
      </c>
      <c r="AK30" s="23">
        <v>32</v>
      </c>
      <c r="AL30" s="23">
        <v>32</v>
      </c>
      <c r="AM30" s="23">
        <v>32</v>
      </c>
      <c r="AN30" s="23">
        <v>32</v>
      </c>
      <c r="AO30" s="23">
        <v>32</v>
      </c>
      <c r="AP30" s="23">
        <v>32</v>
      </c>
      <c r="AQ30" s="23"/>
      <c r="AR30" s="23"/>
      <c r="AS30" s="23"/>
      <c r="AT30" s="97"/>
      <c r="AU30" s="97"/>
      <c r="AV30" s="97"/>
      <c r="AW30" s="97"/>
      <c r="AX30" s="97"/>
      <c r="AY30" s="97"/>
      <c r="AZ30" s="97"/>
      <c r="BA30" s="97"/>
      <c r="BB30" s="97"/>
      <c r="BC30" s="97"/>
      <c r="BD30" s="97"/>
      <c r="BE30" s="97"/>
      <c r="BF30" s="97"/>
    </row>
    <row r="31" spans="3:58" ht="15">
      <c r="C31" s="96" t="s">
        <v>387</v>
      </c>
      <c r="D31" s="56" t="s">
        <v>112</v>
      </c>
      <c r="E31" s="56" t="s">
        <v>120</v>
      </c>
      <c r="F31" s="24" t="s">
        <v>139</v>
      </c>
      <c r="G31" s="167" t="s">
        <v>254</v>
      </c>
      <c r="H31" s="23" t="s">
        <v>388</v>
      </c>
      <c r="I31" s="57">
        <f t="shared" si="6"/>
        <v>840</v>
      </c>
      <c r="J31" s="58">
        <f>IFERROR(VLOOKUP(D31,Rates!$A$2:$C$26,3,TRUE),"-")</f>
        <v>365</v>
      </c>
      <c r="K31" s="59">
        <f t="shared" si="7"/>
        <v>365</v>
      </c>
      <c r="L31" s="58">
        <v>137.69999999999999</v>
      </c>
      <c r="M31" s="58">
        <f t="shared" si="8"/>
        <v>306600</v>
      </c>
      <c r="N31" s="58">
        <f t="shared" si="9"/>
        <v>115667.99999999999</v>
      </c>
      <c r="O31" s="60">
        <f t="shared" si="10"/>
        <v>0.62273972602739724</v>
      </c>
      <c r="P31" s="60">
        <f t="shared" si="11"/>
        <v>0</v>
      </c>
      <c r="Q31" s="117">
        <f t="shared" si="12"/>
        <v>9.4553461563370259E-2</v>
      </c>
      <c r="R31" s="48"/>
      <c r="S31" s="23">
        <v>40</v>
      </c>
      <c r="T31" s="23">
        <v>40</v>
      </c>
      <c r="U31" s="23">
        <v>40</v>
      </c>
      <c r="V31" s="23">
        <v>40</v>
      </c>
      <c r="W31" s="23">
        <v>40</v>
      </c>
      <c r="X31" s="23">
        <v>32</v>
      </c>
      <c r="Y31" s="23">
        <v>32</v>
      </c>
      <c r="Z31" s="23">
        <v>32</v>
      </c>
      <c r="AA31" s="23">
        <v>32</v>
      </c>
      <c r="AB31" s="23">
        <v>32</v>
      </c>
      <c r="AC31" s="23">
        <v>32</v>
      </c>
      <c r="AD31" s="23">
        <v>32</v>
      </c>
      <c r="AE31" s="23">
        <v>32</v>
      </c>
      <c r="AF31" s="23">
        <v>32</v>
      </c>
      <c r="AG31" s="23">
        <v>32</v>
      </c>
      <c r="AH31" s="23">
        <v>32</v>
      </c>
      <c r="AI31" s="23">
        <v>32</v>
      </c>
      <c r="AJ31" s="23">
        <v>32</v>
      </c>
      <c r="AK31" s="23">
        <v>32</v>
      </c>
      <c r="AL31" s="23">
        <v>32</v>
      </c>
      <c r="AM31" s="23">
        <v>32</v>
      </c>
      <c r="AN31" s="23">
        <v>32</v>
      </c>
      <c r="AO31" s="23">
        <v>24</v>
      </c>
      <c r="AP31" s="23">
        <v>24</v>
      </c>
      <c r="AQ31" s="23">
        <v>24</v>
      </c>
      <c r="AR31" s="23">
        <v>24</v>
      </c>
      <c r="AS31" s="23"/>
      <c r="AT31" s="97"/>
      <c r="AU31" s="97"/>
      <c r="AV31" s="97"/>
      <c r="AW31" s="97"/>
      <c r="AX31" s="97"/>
      <c r="AY31" s="97"/>
      <c r="AZ31" s="97"/>
      <c r="BA31" s="97"/>
      <c r="BB31" s="97"/>
      <c r="BC31" s="97"/>
      <c r="BD31" s="97"/>
      <c r="BE31" s="97"/>
      <c r="BF31" s="97"/>
    </row>
    <row r="32" spans="3:58" ht="15">
      <c r="C32" s="96" t="s">
        <v>142</v>
      </c>
      <c r="D32" s="56" t="s">
        <v>102</v>
      </c>
      <c r="E32" s="56" t="s">
        <v>143</v>
      </c>
      <c r="F32" s="24" t="s">
        <v>139</v>
      </c>
      <c r="G32" s="56" t="s">
        <v>379</v>
      </c>
      <c r="H32" s="23" t="s">
        <v>144</v>
      </c>
      <c r="I32" s="57">
        <f t="shared" si="6"/>
        <v>1040</v>
      </c>
      <c r="J32" s="58">
        <v>93.6</v>
      </c>
      <c r="K32" s="59">
        <f t="shared" si="7"/>
        <v>93.6</v>
      </c>
      <c r="L32" s="58">
        <v>55.77</v>
      </c>
      <c r="M32" s="58">
        <f t="shared" si="8"/>
        <v>97344</v>
      </c>
      <c r="N32" s="58">
        <f t="shared" si="9"/>
        <v>58000.800000000003</v>
      </c>
      <c r="O32" s="60">
        <f t="shared" si="10"/>
        <v>0.40416666666666662</v>
      </c>
      <c r="P32" s="60">
        <f t="shared" si="11"/>
        <v>0</v>
      </c>
      <c r="Q32" s="117">
        <f t="shared" si="12"/>
        <v>3.0020261456049298E-2</v>
      </c>
      <c r="R32" s="48"/>
      <c r="S32" s="23">
        <v>40</v>
      </c>
      <c r="T32" s="23">
        <v>40</v>
      </c>
      <c r="U32" s="23">
        <v>40</v>
      </c>
      <c r="V32" s="23">
        <v>40</v>
      </c>
      <c r="W32" s="23">
        <v>40</v>
      </c>
      <c r="X32" s="23">
        <v>40</v>
      </c>
      <c r="Y32" s="23">
        <v>40</v>
      </c>
      <c r="Z32" s="23">
        <v>40</v>
      </c>
      <c r="AA32" s="23">
        <v>40</v>
      </c>
      <c r="AB32" s="23">
        <v>40</v>
      </c>
      <c r="AC32" s="23">
        <v>40</v>
      </c>
      <c r="AD32" s="23">
        <v>40</v>
      </c>
      <c r="AE32" s="23">
        <v>40</v>
      </c>
      <c r="AF32" s="23">
        <v>40</v>
      </c>
      <c r="AG32" s="23">
        <v>40</v>
      </c>
      <c r="AH32" s="23">
        <v>40</v>
      </c>
      <c r="AI32" s="23">
        <v>40</v>
      </c>
      <c r="AJ32" s="23">
        <v>40</v>
      </c>
      <c r="AK32" s="23">
        <v>40</v>
      </c>
      <c r="AL32" s="23">
        <v>40</v>
      </c>
      <c r="AM32" s="23">
        <v>40</v>
      </c>
      <c r="AN32" s="23">
        <v>40</v>
      </c>
      <c r="AO32" s="23">
        <v>40</v>
      </c>
      <c r="AP32" s="23">
        <v>40</v>
      </c>
      <c r="AQ32" s="23">
        <v>40</v>
      </c>
      <c r="AR32" s="23">
        <v>40</v>
      </c>
      <c r="AS32" s="23"/>
      <c r="AT32" s="97"/>
      <c r="AU32" s="97"/>
      <c r="AV32" s="97"/>
      <c r="AW32" s="97"/>
      <c r="AX32" s="97"/>
      <c r="AY32" s="97"/>
      <c r="AZ32" s="97"/>
      <c r="BA32" s="97"/>
      <c r="BB32" s="97"/>
      <c r="BC32" s="97"/>
      <c r="BD32" s="97"/>
      <c r="BE32" s="97"/>
      <c r="BF32" s="97"/>
    </row>
    <row r="33" spans="3:58" ht="15">
      <c r="C33" s="96" t="s">
        <v>142</v>
      </c>
      <c r="D33" s="56" t="s">
        <v>102</v>
      </c>
      <c r="E33" s="56" t="s">
        <v>145</v>
      </c>
      <c r="F33" s="24" t="s">
        <v>139</v>
      </c>
      <c r="G33" s="56" t="s">
        <v>379</v>
      </c>
      <c r="H33" s="23" t="s">
        <v>146</v>
      </c>
      <c r="I33" s="57">
        <f t="shared" si="6"/>
        <v>1040</v>
      </c>
      <c r="J33" s="58">
        <v>93.6</v>
      </c>
      <c r="K33" s="59">
        <f>J33</f>
        <v>93.6</v>
      </c>
      <c r="L33" s="58">
        <v>55.77</v>
      </c>
      <c r="M33" s="58">
        <f t="shared" si="8"/>
        <v>97344</v>
      </c>
      <c r="N33" s="58">
        <f t="shared" si="9"/>
        <v>58000.800000000003</v>
      </c>
      <c r="O33" s="60">
        <f t="shared" si="10"/>
        <v>0.40416666666666662</v>
      </c>
      <c r="P33" s="60">
        <f t="shared" si="11"/>
        <v>0</v>
      </c>
      <c r="Q33" s="117">
        <f t="shared" si="12"/>
        <v>3.0020261456049298E-2</v>
      </c>
      <c r="R33" s="48"/>
      <c r="S33" s="23">
        <v>40</v>
      </c>
      <c r="T33" s="23">
        <v>40</v>
      </c>
      <c r="U33" s="23">
        <v>40</v>
      </c>
      <c r="V33" s="23">
        <v>40</v>
      </c>
      <c r="W33" s="23">
        <v>40</v>
      </c>
      <c r="X33" s="23">
        <v>40</v>
      </c>
      <c r="Y33" s="23">
        <v>40</v>
      </c>
      <c r="Z33" s="23">
        <v>40</v>
      </c>
      <c r="AA33" s="23">
        <v>40</v>
      </c>
      <c r="AB33" s="23">
        <v>40</v>
      </c>
      <c r="AC33" s="23">
        <v>40</v>
      </c>
      <c r="AD33" s="23">
        <v>40</v>
      </c>
      <c r="AE33" s="23">
        <v>40</v>
      </c>
      <c r="AF33" s="23">
        <v>40</v>
      </c>
      <c r="AG33" s="23">
        <v>40</v>
      </c>
      <c r="AH33" s="23">
        <v>40</v>
      </c>
      <c r="AI33" s="23">
        <v>40</v>
      </c>
      <c r="AJ33" s="23">
        <v>40</v>
      </c>
      <c r="AK33" s="23">
        <v>40</v>
      </c>
      <c r="AL33" s="23">
        <v>40</v>
      </c>
      <c r="AM33" s="23">
        <v>40</v>
      </c>
      <c r="AN33" s="23">
        <v>40</v>
      </c>
      <c r="AO33" s="23">
        <v>40</v>
      </c>
      <c r="AP33" s="23">
        <v>40</v>
      </c>
      <c r="AQ33" s="23">
        <v>40</v>
      </c>
      <c r="AR33" s="23">
        <v>40</v>
      </c>
      <c r="AS33" s="23"/>
      <c r="AT33" s="97"/>
      <c r="AU33" s="97"/>
      <c r="AV33" s="97"/>
      <c r="AW33" s="97"/>
      <c r="AX33" s="97"/>
      <c r="AY33" s="97"/>
      <c r="AZ33" s="97"/>
      <c r="BA33" s="97"/>
      <c r="BB33" s="97"/>
      <c r="BC33" s="97"/>
      <c r="BD33" s="97"/>
      <c r="BE33" s="97"/>
      <c r="BF33" s="97"/>
    </row>
    <row r="34" spans="3:58" ht="15">
      <c r="C34" s="96" t="s">
        <v>142</v>
      </c>
      <c r="D34" s="56" t="s">
        <v>102</v>
      </c>
      <c r="E34" s="56" t="s">
        <v>147</v>
      </c>
      <c r="F34" s="24" t="s">
        <v>139</v>
      </c>
      <c r="G34" s="56" t="s">
        <v>379</v>
      </c>
      <c r="H34" s="23" t="s">
        <v>389</v>
      </c>
      <c r="I34" s="57">
        <f t="shared" ref="I34:I41" si="13">SUM(R34:AT34)</f>
        <v>1040</v>
      </c>
      <c r="J34" s="58">
        <v>94.6</v>
      </c>
      <c r="K34" s="59">
        <f t="shared" ref="K34:K41" si="14">J34</f>
        <v>94.6</v>
      </c>
      <c r="L34" s="58">
        <v>56.77</v>
      </c>
      <c r="M34" s="58">
        <f t="shared" ref="M34:M41" si="15">IF(I34=0,"-",K34*I34)</f>
        <v>98384</v>
      </c>
      <c r="N34" s="58">
        <f t="shared" ref="N34:N41" si="16">IF(I34=0,"-",L34*I34)</f>
        <v>59040.800000000003</v>
      </c>
      <c r="O34" s="60">
        <f t="shared" ref="O34:O41" si="17">IFERROR((M34-N34)/M34,"-")</f>
        <v>0.39989429175475683</v>
      </c>
      <c r="P34" s="60">
        <f t="shared" ref="P34:P41" si="18">IFERROR((J34-K34)/J34,0)</f>
        <v>0</v>
      </c>
      <c r="Q34" s="117">
        <f t="shared" ref="Q34:Q41" si="19">IFERROR(M34/$B$7,0)</f>
        <v>3.0340990745109653E-2</v>
      </c>
      <c r="R34" s="48"/>
      <c r="S34" s="23">
        <v>40</v>
      </c>
      <c r="T34" s="23">
        <v>40</v>
      </c>
      <c r="U34" s="23">
        <v>40</v>
      </c>
      <c r="V34" s="23">
        <v>40</v>
      </c>
      <c r="W34" s="23">
        <v>40</v>
      </c>
      <c r="X34" s="23">
        <v>40</v>
      </c>
      <c r="Y34" s="23">
        <v>40</v>
      </c>
      <c r="Z34" s="23">
        <v>40</v>
      </c>
      <c r="AA34" s="23">
        <v>40</v>
      </c>
      <c r="AB34" s="23">
        <v>40</v>
      </c>
      <c r="AC34" s="23">
        <v>40</v>
      </c>
      <c r="AD34" s="23">
        <v>40</v>
      </c>
      <c r="AE34" s="23">
        <v>40</v>
      </c>
      <c r="AF34" s="23">
        <v>40</v>
      </c>
      <c r="AG34" s="23">
        <v>40</v>
      </c>
      <c r="AH34" s="23">
        <v>40</v>
      </c>
      <c r="AI34" s="23">
        <v>40</v>
      </c>
      <c r="AJ34" s="23">
        <v>40</v>
      </c>
      <c r="AK34" s="23">
        <v>40</v>
      </c>
      <c r="AL34" s="23">
        <v>40</v>
      </c>
      <c r="AM34" s="23">
        <v>40</v>
      </c>
      <c r="AN34" s="23">
        <v>40</v>
      </c>
      <c r="AO34" s="23">
        <v>40</v>
      </c>
      <c r="AP34" s="23">
        <v>40</v>
      </c>
      <c r="AQ34" s="23">
        <v>40</v>
      </c>
      <c r="AR34" s="23">
        <v>40</v>
      </c>
      <c r="AS34" s="23"/>
      <c r="AT34" s="97"/>
      <c r="AU34" s="23"/>
      <c r="AV34" s="23"/>
      <c r="AW34" s="23"/>
      <c r="AX34" s="23"/>
      <c r="AY34" s="23"/>
      <c r="AZ34" s="23"/>
      <c r="BA34" s="23"/>
      <c r="BB34" s="23"/>
      <c r="BC34" s="23"/>
      <c r="BD34" s="23"/>
      <c r="BE34" s="23"/>
      <c r="BF34" s="23"/>
    </row>
    <row r="35" spans="3:58" ht="15">
      <c r="C35" s="96" t="s">
        <v>142</v>
      </c>
      <c r="D35" s="56" t="s">
        <v>102</v>
      </c>
      <c r="E35" s="56" t="s">
        <v>148</v>
      </c>
      <c r="F35" s="24" t="s">
        <v>139</v>
      </c>
      <c r="G35" s="56" t="s">
        <v>379</v>
      </c>
      <c r="H35" s="23" t="s">
        <v>389</v>
      </c>
      <c r="I35" s="57">
        <f t="shared" si="13"/>
        <v>1040</v>
      </c>
      <c r="J35" s="58">
        <v>95.6</v>
      </c>
      <c r="K35" s="59">
        <f t="shared" si="14"/>
        <v>95.6</v>
      </c>
      <c r="L35" s="58">
        <v>57.77</v>
      </c>
      <c r="M35" s="58">
        <f t="shared" si="15"/>
        <v>99424</v>
      </c>
      <c r="N35" s="58">
        <f t="shared" si="16"/>
        <v>60080.800000000003</v>
      </c>
      <c r="O35" s="60">
        <f t="shared" si="17"/>
        <v>0.39571129707112968</v>
      </c>
      <c r="P35" s="60">
        <f t="shared" si="18"/>
        <v>0</v>
      </c>
      <c r="Q35" s="117">
        <f t="shared" si="19"/>
        <v>3.0661720034170011E-2</v>
      </c>
      <c r="R35" s="48"/>
      <c r="S35" s="23">
        <v>40</v>
      </c>
      <c r="T35" s="23">
        <v>40</v>
      </c>
      <c r="U35" s="23">
        <v>40</v>
      </c>
      <c r="V35" s="23">
        <v>40</v>
      </c>
      <c r="W35" s="23">
        <v>40</v>
      </c>
      <c r="X35" s="23">
        <v>40</v>
      </c>
      <c r="Y35" s="23">
        <v>40</v>
      </c>
      <c r="Z35" s="23">
        <v>40</v>
      </c>
      <c r="AA35" s="23">
        <v>40</v>
      </c>
      <c r="AB35" s="23">
        <v>40</v>
      </c>
      <c r="AC35" s="23">
        <v>40</v>
      </c>
      <c r="AD35" s="23">
        <v>40</v>
      </c>
      <c r="AE35" s="23">
        <v>40</v>
      </c>
      <c r="AF35" s="23">
        <v>40</v>
      </c>
      <c r="AG35" s="23">
        <v>40</v>
      </c>
      <c r="AH35" s="23">
        <v>40</v>
      </c>
      <c r="AI35" s="23">
        <v>40</v>
      </c>
      <c r="AJ35" s="23">
        <v>40</v>
      </c>
      <c r="AK35" s="23">
        <v>40</v>
      </c>
      <c r="AL35" s="23">
        <v>40</v>
      </c>
      <c r="AM35" s="23">
        <v>40</v>
      </c>
      <c r="AN35" s="23">
        <v>40</v>
      </c>
      <c r="AO35" s="23">
        <v>40</v>
      </c>
      <c r="AP35" s="23">
        <v>40</v>
      </c>
      <c r="AQ35" s="23">
        <v>40</v>
      </c>
      <c r="AR35" s="23">
        <v>40</v>
      </c>
      <c r="AS35" s="23"/>
      <c r="AT35" s="97"/>
      <c r="AU35" s="23"/>
      <c r="AV35" s="23"/>
      <c r="AW35" s="23"/>
      <c r="AX35" s="23"/>
      <c r="AY35" s="23"/>
      <c r="AZ35" s="23"/>
      <c r="BA35" s="23"/>
      <c r="BB35" s="23"/>
      <c r="BC35" s="23"/>
      <c r="BD35" s="23"/>
      <c r="BE35" s="23"/>
      <c r="BF35" s="23"/>
    </row>
    <row r="36" spans="3:58" ht="15">
      <c r="C36" s="96" t="s">
        <v>142</v>
      </c>
      <c r="D36" s="56" t="s">
        <v>102</v>
      </c>
      <c r="E36" s="56" t="s">
        <v>390</v>
      </c>
      <c r="F36" s="24" t="s">
        <v>139</v>
      </c>
      <c r="G36" s="56" t="s">
        <v>379</v>
      </c>
      <c r="H36" s="23" t="s">
        <v>389</v>
      </c>
      <c r="I36" s="57">
        <f t="shared" si="13"/>
        <v>1040</v>
      </c>
      <c r="J36" s="58">
        <v>96.6</v>
      </c>
      <c r="K36" s="59">
        <f t="shared" si="14"/>
        <v>96.6</v>
      </c>
      <c r="L36" s="58">
        <v>58.77</v>
      </c>
      <c r="M36" s="58">
        <f t="shared" si="15"/>
        <v>100464</v>
      </c>
      <c r="N36" s="58">
        <f t="shared" si="16"/>
        <v>61120.800000000003</v>
      </c>
      <c r="O36" s="60">
        <f t="shared" si="17"/>
        <v>0.3916149068322981</v>
      </c>
      <c r="P36" s="60">
        <f t="shared" si="18"/>
        <v>0</v>
      </c>
      <c r="Q36" s="117">
        <f t="shared" si="19"/>
        <v>3.0982449323230365E-2</v>
      </c>
      <c r="R36" s="48"/>
      <c r="S36" s="23">
        <v>40</v>
      </c>
      <c r="T36" s="23">
        <v>40</v>
      </c>
      <c r="U36" s="23">
        <v>40</v>
      </c>
      <c r="V36" s="23">
        <v>40</v>
      </c>
      <c r="W36" s="23">
        <v>40</v>
      </c>
      <c r="X36" s="23">
        <v>40</v>
      </c>
      <c r="Y36" s="23">
        <v>40</v>
      </c>
      <c r="Z36" s="23">
        <v>40</v>
      </c>
      <c r="AA36" s="23">
        <v>40</v>
      </c>
      <c r="AB36" s="23">
        <v>40</v>
      </c>
      <c r="AC36" s="23">
        <v>40</v>
      </c>
      <c r="AD36" s="23">
        <v>40</v>
      </c>
      <c r="AE36" s="23">
        <v>40</v>
      </c>
      <c r="AF36" s="23">
        <v>40</v>
      </c>
      <c r="AG36" s="23">
        <v>40</v>
      </c>
      <c r="AH36" s="23">
        <v>40</v>
      </c>
      <c r="AI36" s="23">
        <v>40</v>
      </c>
      <c r="AJ36" s="23">
        <v>40</v>
      </c>
      <c r="AK36" s="23">
        <v>40</v>
      </c>
      <c r="AL36" s="23">
        <v>40</v>
      </c>
      <c r="AM36" s="23">
        <v>40</v>
      </c>
      <c r="AN36" s="23">
        <v>40</v>
      </c>
      <c r="AO36" s="23">
        <v>40</v>
      </c>
      <c r="AP36" s="23">
        <v>40</v>
      </c>
      <c r="AQ36" s="23">
        <v>40</v>
      </c>
      <c r="AR36" s="23">
        <v>40</v>
      </c>
      <c r="AS36" s="23"/>
      <c r="AT36" s="97"/>
      <c r="AU36" s="23"/>
      <c r="AV36" s="23"/>
      <c r="AW36" s="23"/>
      <c r="AX36" s="23"/>
      <c r="AY36" s="23"/>
      <c r="AZ36" s="23"/>
      <c r="BA36" s="23"/>
      <c r="BB36" s="23"/>
      <c r="BC36" s="23"/>
      <c r="BD36" s="23"/>
      <c r="BE36" s="23"/>
      <c r="BF36" s="23"/>
    </row>
    <row r="37" spans="3:58" ht="15">
      <c r="C37" s="96" t="s">
        <v>142</v>
      </c>
      <c r="D37" s="56" t="s">
        <v>102</v>
      </c>
      <c r="E37" s="56" t="s">
        <v>391</v>
      </c>
      <c r="F37" s="24" t="s">
        <v>139</v>
      </c>
      <c r="G37" s="56" t="s">
        <v>379</v>
      </c>
      <c r="H37" s="23" t="s">
        <v>389</v>
      </c>
      <c r="I37" s="57">
        <f t="shared" si="13"/>
        <v>1040</v>
      </c>
      <c r="J37" s="58">
        <v>97.6</v>
      </c>
      <c r="K37" s="59">
        <f t="shared" si="14"/>
        <v>97.6</v>
      </c>
      <c r="L37" s="58">
        <v>59.77</v>
      </c>
      <c r="M37" s="58">
        <f t="shared" si="15"/>
        <v>101504</v>
      </c>
      <c r="N37" s="58">
        <f t="shared" si="16"/>
        <v>62160.800000000003</v>
      </c>
      <c r="O37" s="60">
        <f t="shared" si="17"/>
        <v>0.3876024590163934</v>
      </c>
      <c r="P37" s="60">
        <f t="shared" si="18"/>
        <v>0</v>
      </c>
      <c r="Q37" s="117">
        <f t="shared" si="19"/>
        <v>3.1303178612290719E-2</v>
      </c>
      <c r="R37" s="48"/>
      <c r="S37" s="23">
        <v>40</v>
      </c>
      <c r="T37" s="23">
        <v>40</v>
      </c>
      <c r="U37" s="23">
        <v>40</v>
      </c>
      <c r="V37" s="23">
        <v>40</v>
      </c>
      <c r="W37" s="23">
        <v>40</v>
      </c>
      <c r="X37" s="23">
        <v>40</v>
      </c>
      <c r="Y37" s="23">
        <v>40</v>
      </c>
      <c r="Z37" s="23">
        <v>40</v>
      </c>
      <c r="AA37" s="23">
        <v>40</v>
      </c>
      <c r="AB37" s="23">
        <v>40</v>
      </c>
      <c r="AC37" s="23">
        <v>40</v>
      </c>
      <c r="AD37" s="23">
        <v>40</v>
      </c>
      <c r="AE37" s="23">
        <v>40</v>
      </c>
      <c r="AF37" s="23">
        <v>40</v>
      </c>
      <c r="AG37" s="23">
        <v>40</v>
      </c>
      <c r="AH37" s="23">
        <v>40</v>
      </c>
      <c r="AI37" s="23">
        <v>40</v>
      </c>
      <c r="AJ37" s="23">
        <v>40</v>
      </c>
      <c r="AK37" s="23">
        <v>40</v>
      </c>
      <c r="AL37" s="23">
        <v>40</v>
      </c>
      <c r="AM37" s="23">
        <v>40</v>
      </c>
      <c r="AN37" s="23">
        <v>40</v>
      </c>
      <c r="AO37" s="23">
        <v>40</v>
      </c>
      <c r="AP37" s="23">
        <v>40</v>
      </c>
      <c r="AQ37" s="23">
        <v>40</v>
      </c>
      <c r="AR37" s="23">
        <v>40</v>
      </c>
      <c r="AS37" s="23"/>
      <c r="AT37" s="97"/>
      <c r="AU37" s="23"/>
      <c r="AV37" s="23"/>
      <c r="AW37" s="23"/>
      <c r="AX37" s="23"/>
      <c r="AY37" s="23"/>
      <c r="AZ37" s="23"/>
      <c r="BA37" s="23"/>
      <c r="BB37" s="23"/>
      <c r="BC37" s="23"/>
      <c r="BD37" s="23"/>
      <c r="BE37" s="23"/>
      <c r="BF37" s="23"/>
    </row>
    <row r="38" spans="3:58" ht="15">
      <c r="C38" s="96" t="s">
        <v>142</v>
      </c>
      <c r="D38" s="56" t="s">
        <v>102</v>
      </c>
      <c r="E38" s="56" t="s">
        <v>392</v>
      </c>
      <c r="F38" s="24" t="s">
        <v>139</v>
      </c>
      <c r="G38" s="56" t="s">
        <v>379</v>
      </c>
      <c r="H38" s="23" t="s">
        <v>389</v>
      </c>
      <c r="I38" s="57">
        <f t="shared" si="13"/>
        <v>1040</v>
      </c>
      <c r="J38" s="58">
        <v>98.6</v>
      </c>
      <c r="K38" s="59">
        <f t="shared" si="14"/>
        <v>98.6</v>
      </c>
      <c r="L38" s="58">
        <v>60.77</v>
      </c>
      <c r="M38" s="58">
        <f t="shared" si="15"/>
        <v>102544</v>
      </c>
      <c r="N38" s="58">
        <f t="shared" si="16"/>
        <v>63200.800000000003</v>
      </c>
      <c r="O38" s="60">
        <f t="shared" si="17"/>
        <v>0.38367139959432045</v>
      </c>
      <c r="P38" s="60">
        <f t="shared" si="18"/>
        <v>0</v>
      </c>
      <c r="Q38" s="117">
        <f t="shared" si="19"/>
        <v>3.1623907901351077E-2</v>
      </c>
      <c r="R38" s="48"/>
      <c r="S38" s="23">
        <v>40</v>
      </c>
      <c r="T38" s="23">
        <v>40</v>
      </c>
      <c r="U38" s="23">
        <v>40</v>
      </c>
      <c r="V38" s="23">
        <v>40</v>
      </c>
      <c r="W38" s="23">
        <v>40</v>
      </c>
      <c r="X38" s="23">
        <v>40</v>
      </c>
      <c r="Y38" s="23">
        <v>40</v>
      </c>
      <c r="Z38" s="23">
        <v>40</v>
      </c>
      <c r="AA38" s="23">
        <v>40</v>
      </c>
      <c r="AB38" s="23">
        <v>40</v>
      </c>
      <c r="AC38" s="23">
        <v>40</v>
      </c>
      <c r="AD38" s="23">
        <v>40</v>
      </c>
      <c r="AE38" s="23">
        <v>40</v>
      </c>
      <c r="AF38" s="23">
        <v>40</v>
      </c>
      <c r="AG38" s="23">
        <v>40</v>
      </c>
      <c r="AH38" s="23">
        <v>40</v>
      </c>
      <c r="AI38" s="23">
        <v>40</v>
      </c>
      <c r="AJ38" s="23">
        <v>40</v>
      </c>
      <c r="AK38" s="23">
        <v>40</v>
      </c>
      <c r="AL38" s="23">
        <v>40</v>
      </c>
      <c r="AM38" s="23">
        <v>40</v>
      </c>
      <c r="AN38" s="23">
        <v>40</v>
      </c>
      <c r="AO38" s="23">
        <v>40</v>
      </c>
      <c r="AP38" s="23">
        <v>40</v>
      </c>
      <c r="AQ38" s="23">
        <v>40</v>
      </c>
      <c r="AR38" s="23">
        <v>40</v>
      </c>
      <c r="AS38" s="23"/>
      <c r="AT38" s="97"/>
      <c r="AU38" s="97"/>
      <c r="AV38" s="97"/>
      <c r="AW38" s="97"/>
      <c r="AX38" s="97"/>
      <c r="AY38" s="97"/>
      <c r="AZ38" s="97"/>
      <c r="BA38" s="97"/>
      <c r="BB38" s="97"/>
      <c r="BC38" s="97"/>
      <c r="BD38" s="97"/>
      <c r="BE38" s="97"/>
      <c r="BF38" s="97"/>
    </row>
    <row r="39" spans="3:58" ht="15">
      <c r="C39" s="96" t="s">
        <v>142</v>
      </c>
      <c r="D39" s="56" t="s">
        <v>102</v>
      </c>
      <c r="E39" s="56" t="s">
        <v>392</v>
      </c>
      <c r="F39" s="24" t="s">
        <v>139</v>
      </c>
      <c r="G39" s="56" t="s">
        <v>379</v>
      </c>
      <c r="H39" s="23" t="s">
        <v>389</v>
      </c>
      <c r="I39" s="57">
        <f t="shared" ref="I39" si="20">SUM(R39:AT39)</f>
        <v>1048</v>
      </c>
      <c r="J39" s="58">
        <v>98.6</v>
      </c>
      <c r="K39" s="59">
        <f t="shared" ref="K39" si="21">J39</f>
        <v>98.6</v>
      </c>
      <c r="L39" s="58">
        <v>60.77</v>
      </c>
      <c r="M39" s="58">
        <f t="shared" ref="M39" si="22">IF(I39=0,"-",K39*I39)</f>
        <v>103332.79999999999</v>
      </c>
      <c r="N39" s="58">
        <f t="shared" ref="N39" si="23">IF(I39=0,"-",L39*I39)</f>
        <v>63686.960000000006</v>
      </c>
      <c r="O39" s="60">
        <f t="shared" ref="O39" si="24">IFERROR((M39-N39)/M39,"-")</f>
        <v>0.38367139959432034</v>
      </c>
      <c r="P39" s="60">
        <f t="shared" ref="P39" si="25">IFERROR((J39-K39)/J39,0)</f>
        <v>0</v>
      </c>
      <c r="Q39" s="117">
        <f t="shared" ref="Q39" si="26">IFERROR(M39/$B$7,0)</f>
        <v>3.1867168731361466E-2</v>
      </c>
      <c r="R39" s="48">
        <v>8</v>
      </c>
      <c r="S39" s="23">
        <v>40</v>
      </c>
      <c r="T39" s="23">
        <v>40</v>
      </c>
      <c r="U39" s="23">
        <v>40</v>
      </c>
      <c r="V39" s="23">
        <v>40</v>
      </c>
      <c r="W39" s="23">
        <v>40</v>
      </c>
      <c r="X39" s="23">
        <v>40</v>
      </c>
      <c r="Y39" s="23">
        <v>40</v>
      </c>
      <c r="Z39" s="23">
        <v>40</v>
      </c>
      <c r="AA39" s="23">
        <v>40</v>
      </c>
      <c r="AB39" s="23">
        <v>40</v>
      </c>
      <c r="AC39" s="23">
        <v>40</v>
      </c>
      <c r="AD39" s="23">
        <v>40</v>
      </c>
      <c r="AE39" s="23">
        <v>40</v>
      </c>
      <c r="AF39" s="23">
        <v>40</v>
      </c>
      <c r="AG39" s="23">
        <v>40</v>
      </c>
      <c r="AH39" s="23">
        <v>40</v>
      </c>
      <c r="AI39" s="23">
        <v>40</v>
      </c>
      <c r="AJ39" s="23">
        <v>40</v>
      </c>
      <c r="AK39" s="23">
        <v>40</v>
      </c>
      <c r="AL39" s="23">
        <v>40</v>
      </c>
      <c r="AM39" s="23">
        <v>40</v>
      </c>
      <c r="AN39" s="23">
        <v>40</v>
      </c>
      <c r="AO39" s="23">
        <v>40</v>
      </c>
      <c r="AP39" s="23">
        <v>40</v>
      </c>
      <c r="AQ39" s="23">
        <v>40</v>
      </c>
      <c r="AR39" s="23">
        <v>40</v>
      </c>
      <c r="AS39" s="23"/>
      <c r="AT39" s="97"/>
      <c r="AU39" s="97"/>
      <c r="AV39" s="97"/>
      <c r="AW39" s="97"/>
      <c r="AX39" s="97"/>
      <c r="AY39" s="97"/>
      <c r="AZ39" s="97"/>
      <c r="BA39" s="97"/>
      <c r="BB39" s="97"/>
      <c r="BC39" s="97"/>
      <c r="BD39" s="97"/>
      <c r="BE39" s="97"/>
      <c r="BF39" s="97"/>
    </row>
    <row r="40" spans="3:58" ht="15">
      <c r="C40" s="96" t="s">
        <v>142</v>
      </c>
      <c r="D40" s="56" t="s">
        <v>102</v>
      </c>
      <c r="E40" s="56"/>
      <c r="F40" s="24"/>
      <c r="G40" s="56"/>
      <c r="H40" s="23"/>
      <c r="I40" s="57">
        <f>SUM(R40:AT40)</f>
        <v>500</v>
      </c>
      <c r="J40" s="58">
        <f>IFERROR(VLOOKUP(D40,Rates!$A$2:$C$26,3,TRUE),"-")</f>
        <v>90</v>
      </c>
      <c r="K40" s="59">
        <f>J40</f>
        <v>90</v>
      </c>
      <c r="L40" s="58">
        <f>IFERROR(VLOOKUP(D40,Rates!$A$2:$C$26,2,TRUE),"-")</f>
        <v>53.886669260251011</v>
      </c>
      <c r="M40" s="58">
        <f>IF(I40=0,"-",K40*I40)</f>
        <v>45000</v>
      </c>
      <c r="N40" s="58">
        <f>IF(I40=0,"-",L40*I40)</f>
        <v>26943.334630125504</v>
      </c>
      <c r="O40" s="60">
        <f>IFERROR((M40-N40)/M40,"-")</f>
        <v>0.40125923044165546</v>
      </c>
      <c r="P40" s="60">
        <f>IFERROR((J40-K40)/J40,0)</f>
        <v>0</v>
      </c>
      <c r="Q40" s="117">
        <f>IFERROR(M40/$B$7,0)</f>
        <v>1.3877709622803854E-2</v>
      </c>
      <c r="R40" s="48"/>
      <c r="S40" s="23">
        <v>40</v>
      </c>
      <c r="T40" s="23">
        <v>40</v>
      </c>
      <c r="U40" s="23">
        <v>40</v>
      </c>
      <c r="V40" s="23">
        <v>40</v>
      </c>
      <c r="W40" s="23">
        <v>40</v>
      </c>
      <c r="X40" s="23">
        <v>40</v>
      </c>
      <c r="Y40" s="23">
        <v>40</v>
      </c>
      <c r="Z40" s="23">
        <v>40</v>
      </c>
      <c r="AA40" s="23">
        <v>40</v>
      </c>
      <c r="AB40" s="23">
        <v>40</v>
      </c>
      <c r="AC40" s="23">
        <v>40</v>
      </c>
      <c r="AD40" s="23">
        <v>40</v>
      </c>
      <c r="AE40" s="23">
        <v>20</v>
      </c>
      <c r="AF40" s="23"/>
      <c r="AG40" s="23"/>
      <c r="AH40" s="23"/>
      <c r="AI40" s="23"/>
      <c r="AJ40" s="23"/>
      <c r="AK40" s="23"/>
      <c r="AL40" s="23"/>
      <c r="AM40" s="23"/>
      <c r="AN40" s="23"/>
      <c r="AO40" s="23"/>
      <c r="AP40" s="23"/>
      <c r="AQ40" s="23"/>
      <c r="AR40" s="23"/>
      <c r="AS40" s="23"/>
      <c r="AT40" s="97"/>
      <c r="AU40" s="23"/>
      <c r="AV40" s="23"/>
      <c r="AW40" s="23"/>
      <c r="AX40" s="23"/>
      <c r="AY40" s="23"/>
      <c r="AZ40" s="23"/>
      <c r="BA40" s="23"/>
      <c r="BB40" s="23"/>
      <c r="BC40" s="23"/>
      <c r="BD40" s="23"/>
      <c r="BE40" s="23"/>
      <c r="BF40" s="23"/>
    </row>
    <row r="41" spans="3:58" ht="15">
      <c r="C41" s="96" t="s">
        <v>142</v>
      </c>
      <c r="D41" s="56" t="s">
        <v>102</v>
      </c>
      <c r="E41" s="56" t="s">
        <v>393</v>
      </c>
      <c r="F41" s="24" t="s">
        <v>139</v>
      </c>
      <c r="G41" s="56" t="s">
        <v>379</v>
      </c>
      <c r="H41" s="23" t="s">
        <v>389</v>
      </c>
      <c r="I41" s="57">
        <f t="shared" si="13"/>
        <v>1040</v>
      </c>
      <c r="J41" s="58">
        <v>99.6</v>
      </c>
      <c r="K41" s="59">
        <f t="shared" si="14"/>
        <v>99.6</v>
      </c>
      <c r="L41" s="58">
        <v>61.77</v>
      </c>
      <c r="M41" s="58">
        <f t="shared" si="15"/>
        <v>103584</v>
      </c>
      <c r="N41" s="58">
        <f t="shared" si="16"/>
        <v>64240.800000000003</v>
      </c>
      <c r="O41" s="60">
        <f t="shared" si="17"/>
        <v>0.37981927710843372</v>
      </c>
      <c r="P41" s="60">
        <f t="shared" si="18"/>
        <v>0</v>
      </c>
      <c r="Q41" s="117">
        <f t="shared" si="19"/>
        <v>3.1944637190411435E-2</v>
      </c>
      <c r="R41" s="48"/>
      <c r="S41" s="23">
        <v>40</v>
      </c>
      <c r="T41" s="23">
        <v>40</v>
      </c>
      <c r="U41" s="23">
        <v>40</v>
      </c>
      <c r="V41" s="23">
        <v>40</v>
      </c>
      <c r="W41" s="23">
        <v>40</v>
      </c>
      <c r="X41" s="23">
        <v>40</v>
      </c>
      <c r="Y41" s="23">
        <v>40</v>
      </c>
      <c r="Z41" s="23">
        <v>40</v>
      </c>
      <c r="AA41" s="23">
        <v>40</v>
      </c>
      <c r="AB41" s="23">
        <v>40</v>
      </c>
      <c r="AC41" s="23">
        <v>40</v>
      </c>
      <c r="AD41" s="23">
        <v>40</v>
      </c>
      <c r="AE41" s="23">
        <v>40</v>
      </c>
      <c r="AF41" s="23">
        <v>40</v>
      </c>
      <c r="AG41" s="23">
        <v>40</v>
      </c>
      <c r="AH41" s="23">
        <v>40</v>
      </c>
      <c r="AI41" s="23">
        <v>40</v>
      </c>
      <c r="AJ41" s="23">
        <v>40</v>
      </c>
      <c r="AK41" s="23">
        <v>40</v>
      </c>
      <c r="AL41" s="23">
        <v>40</v>
      </c>
      <c r="AM41" s="23">
        <v>40</v>
      </c>
      <c r="AN41" s="23">
        <v>40</v>
      </c>
      <c r="AO41" s="23">
        <v>40</v>
      </c>
      <c r="AP41" s="23">
        <v>40</v>
      </c>
      <c r="AQ41" s="23">
        <v>40</v>
      </c>
      <c r="AR41" s="23">
        <v>40</v>
      </c>
      <c r="AS41" s="23"/>
      <c r="AT41" s="97"/>
      <c r="AU41" s="97"/>
      <c r="AV41" s="97"/>
      <c r="AW41" s="97"/>
      <c r="AX41" s="97"/>
      <c r="AY41" s="97"/>
      <c r="AZ41" s="97"/>
      <c r="BA41" s="97"/>
      <c r="BB41" s="97"/>
      <c r="BC41" s="97"/>
      <c r="BD41" s="97"/>
      <c r="BE41" s="97"/>
      <c r="BF41" s="97"/>
    </row>
    <row r="42" spans="3:58" ht="15" hidden="1">
      <c r="C42" s="128" t="s">
        <v>394</v>
      </c>
      <c r="D42" s="129">
        <f>SUM(Q43:Q47)</f>
        <v>0</v>
      </c>
      <c r="E42" s="130"/>
      <c r="F42" s="130"/>
      <c r="G42" s="130"/>
      <c r="H42" s="130"/>
      <c r="I42" s="130"/>
      <c r="J42" s="130"/>
      <c r="K42" s="130"/>
      <c r="L42" s="130"/>
      <c r="M42" s="130"/>
      <c r="N42" s="130"/>
      <c r="O42" s="130"/>
      <c r="P42" s="130"/>
      <c r="Q42" s="131"/>
      <c r="R42" s="50"/>
      <c r="S42" s="62"/>
      <c r="T42" s="62"/>
      <c r="U42" s="62"/>
      <c r="V42" s="62"/>
      <c r="W42" s="62"/>
      <c r="X42" s="62"/>
      <c r="Y42" s="62"/>
      <c r="Z42" s="62"/>
      <c r="AA42" s="62"/>
      <c r="AB42" s="62"/>
      <c r="AC42" s="62"/>
      <c r="AD42" s="62"/>
      <c r="AE42" s="62"/>
      <c r="AF42" s="62"/>
      <c r="AG42" s="62"/>
      <c r="AH42" s="62"/>
      <c r="AI42" s="62"/>
      <c r="AJ42" s="62"/>
      <c r="AK42" s="62"/>
      <c r="AL42" s="62"/>
      <c r="AM42" s="62"/>
      <c r="AN42" s="62"/>
      <c r="AO42" s="62"/>
      <c r="AP42" s="62"/>
      <c r="AQ42" s="62"/>
      <c r="AR42" s="62"/>
      <c r="AS42" s="62"/>
      <c r="AT42" s="98"/>
      <c r="AU42" s="98"/>
      <c r="AV42" s="98"/>
      <c r="AW42" s="98"/>
      <c r="AX42" s="98"/>
      <c r="AY42" s="98"/>
      <c r="AZ42" s="98"/>
      <c r="BA42" s="98"/>
      <c r="BB42" s="98"/>
      <c r="BC42" s="98"/>
      <c r="BD42" s="98"/>
      <c r="BE42" s="98"/>
      <c r="BF42" s="98"/>
    </row>
    <row r="43" spans="3:58" ht="15" hidden="1">
      <c r="C43" t="s">
        <v>150</v>
      </c>
      <c r="D43" s="56" t="s">
        <v>150</v>
      </c>
      <c r="E43" s="56" t="s">
        <v>150</v>
      </c>
      <c r="F43" s="24" t="s">
        <v>122</v>
      </c>
      <c r="G43" s="56" t="s">
        <v>257</v>
      </c>
      <c r="H43" s="23"/>
      <c r="I43" s="57">
        <f>SUM(R43:AT43)</f>
        <v>0</v>
      </c>
      <c r="J43" s="58">
        <v>462.8</v>
      </c>
      <c r="K43" s="59">
        <f t="shared" ref="K43:K45" si="27">J43</f>
        <v>462.8</v>
      </c>
      <c r="L43" s="58">
        <v>418.3</v>
      </c>
      <c r="M43" s="58" t="str">
        <f>IF(I43=0,"-",K43*I43)</f>
        <v>-</v>
      </c>
      <c r="N43" s="58" t="str">
        <f>IF(I43=0,"-",L43*I43)</f>
        <v>-</v>
      </c>
      <c r="O43" s="60" t="str">
        <f>IFERROR((M43-N43)/M43,"-")</f>
        <v>-</v>
      </c>
      <c r="P43" s="60">
        <f>IFERROR((J43-K43)/J43,0)</f>
        <v>0</v>
      </c>
      <c r="Q43" s="117">
        <f>IFERROR(M43/$B$7,0)</f>
        <v>0</v>
      </c>
      <c r="R43" s="48"/>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97"/>
      <c r="AU43" s="97"/>
      <c r="AV43" s="97"/>
      <c r="AW43" s="97"/>
      <c r="AX43" s="97"/>
      <c r="AY43" s="97"/>
      <c r="AZ43" s="97"/>
      <c r="BA43" s="97"/>
      <c r="BB43" s="97"/>
      <c r="BC43" s="97"/>
      <c r="BD43" s="97"/>
      <c r="BE43" s="97"/>
      <c r="BF43" s="97"/>
    </row>
    <row r="44" spans="3:58" ht="15" hidden="1">
      <c r="C44" t="s">
        <v>395</v>
      </c>
      <c r="D44" s="56" t="s">
        <v>119</v>
      </c>
      <c r="E44" s="56" t="s">
        <v>120</v>
      </c>
      <c r="F44" s="24" t="s">
        <v>122</v>
      </c>
      <c r="G44" s="56" t="s">
        <v>257</v>
      </c>
      <c r="H44" s="23" t="s">
        <v>396</v>
      </c>
      <c r="I44" s="57">
        <f t="shared" ref="I44:I45" si="28">SUM(R44:AT44)</f>
        <v>0</v>
      </c>
      <c r="J44" s="58">
        <v>416</v>
      </c>
      <c r="K44" s="59">
        <f t="shared" si="27"/>
        <v>416</v>
      </c>
      <c r="L44" s="58">
        <v>265.12</v>
      </c>
      <c r="M44" s="58" t="str">
        <f t="shared" ref="M44:M45" si="29">IF(I44=0,"-",K44*I44)</f>
        <v>-</v>
      </c>
      <c r="N44" s="58" t="str">
        <f t="shared" ref="N44:N45" si="30">IF(I44=0,"-",L44*I44)</f>
        <v>-</v>
      </c>
      <c r="O44" s="60" t="str">
        <f t="shared" ref="O44:O45" si="31">IFERROR((M44-N44)/M44,"-")</f>
        <v>-</v>
      </c>
      <c r="P44" s="60">
        <f t="shared" ref="P44:P45" si="32">IFERROR((J44-K44)/J44,0)</f>
        <v>0</v>
      </c>
      <c r="Q44" s="117">
        <f t="shared" ref="Q44:Q45" si="33">IFERROR(M44/$B$7,0)</f>
        <v>0</v>
      </c>
      <c r="R44" s="48"/>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97"/>
      <c r="AU44" s="97"/>
      <c r="AV44" s="97"/>
      <c r="AW44" s="97"/>
      <c r="AX44" s="97"/>
      <c r="AY44" s="97"/>
      <c r="AZ44" s="97"/>
      <c r="BA44" s="97"/>
      <c r="BB44" s="97"/>
      <c r="BC44" s="97"/>
      <c r="BD44" s="97"/>
      <c r="BE44" s="97"/>
      <c r="BF44" s="97"/>
    </row>
    <row r="45" spans="3:58" ht="15" hidden="1">
      <c r="C45" s="168" t="s">
        <v>119</v>
      </c>
      <c r="D45" s="158" t="s">
        <v>102</v>
      </c>
      <c r="E45" s="158" t="s">
        <v>118</v>
      </c>
      <c r="F45" s="159" t="s">
        <v>122</v>
      </c>
      <c r="G45" s="158" t="s">
        <v>379</v>
      </c>
      <c r="H45" s="160" t="s">
        <v>117</v>
      </c>
      <c r="I45" s="161">
        <f t="shared" si="28"/>
        <v>0</v>
      </c>
      <c r="J45" s="58">
        <v>93.6</v>
      </c>
      <c r="K45" s="59">
        <f t="shared" si="27"/>
        <v>93.6</v>
      </c>
      <c r="L45" s="58">
        <v>55.77</v>
      </c>
      <c r="M45" s="58" t="str">
        <f t="shared" si="29"/>
        <v>-</v>
      </c>
      <c r="N45" s="58" t="str">
        <f t="shared" si="30"/>
        <v>-</v>
      </c>
      <c r="O45" s="60" t="str">
        <f t="shared" si="31"/>
        <v>-</v>
      </c>
      <c r="P45" s="60">
        <f t="shared" si="32"/>
        <v>0</v>
      </c>
      <c r="Q45" s="117">
        <f t="shared" si="33"/>
        <v>0</v>
      </c>
      <c r="R45" s="48"/>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97"/>
      <c r="AU45" s="97"/>
      <c r="AV45" s="97"/>
      <c r="AW45" s="97"/>
      <c r="AX45" s="97"/>
      <c r="AY45" s="97"/>
      <c r="AZ45" s="97"/>
      <c r="BA45" s="97"/>
      <c r="BB45" s="97"/>
      <c r="BC45" s="97"/>
      <c r="BD45" s="97"/>
      <c r="BE45" s="97"/>
      <c r="BF45" s="97"/>
    </row>
    <row r="46" spans="3:58" ht="15" hidden="1">
      <c r="C46" t="s">
        <v>119</v>
      </c>
      <c r="D46" s="56" t="s">
        <v>102</v>
      </c>
      <c r="E46" s="56" t="s">
        <v>118</v>
      </c>
      <c r="F46" s="24" t="s">
        <v>122</v>
      </c>
      <c r="G46" s="56" t="s">
        <v>379</v>
      </c>
      <c r="H46" s="160" t="s">
        <v>397</v>
      </c>
      <c r="I46" s="57">
        <f>SUM(R46:AT46)</f>
        <v>0</v>
      </c>
      <c r="J46" s="58">
        <v>93.6</v>
      </c>
      <c r="K46" s="59">
        <f>J46</f>
        <v>93.6</v>
      </c>
      <c r="L46" s="58">
        <v>55.77</v>
      </c>
      <c r="M46" s="58" t="str">
        <f>IF(I46=0,"-",K46*I46)</f>
        <v>-</v>
      </c>
      <c r="N46" s="58" t="str">
        <f>IF(I46=0,"-",L46*I46)</f>
        <v>-</v>
      </c>
      <c r="O46" s="60" t="str">
        <f>IFERROR((M46-N46)/M46,"-")</f>
        <v>-</v>
      </c>
      <c r="P46" s="60">
        <f>IFERROR((J46-K46)/J46,0)</f>
        <v>0</v>
      </c>
      <c r="Q46" s="117">
        <f>IFERROR(M46/$B$7,0)</f>
        <v>0</v>
      </c>
      <c r="R46" s="48"/>
      <c r="S46" s="160"/>
      <c r="T46" s="160"/>
      <c r="U46" s="160"/>
      <c r="V46" s="160"/>
      <c r="W46" s="160"/>
      <c r="X46" s="160"/>
      <c r="Y46" s="160"/>
      <c r="Z46" s="160"/>
      <c r="AA46" s="160"/>
      <c r="AB46" s="160"/>
      <c r="AC46" s="160"/>
      <c r="AD46" s="160"/>
      <c r="AE46" s="160"/>
      <c r="AF46" s="160"/>
      <c r="AG46" s="160"/>
      <c r="AH46" s="160"/>
      <c r="AI46" s="160"/>
      <c r="AJ46" s="160"/>
      <c r="AK46" s="160"/>
      <c r="AL46" s="160"/>
      <c r="AM46" s="160"/>
      <c r="AN46" s="160"/>
      <c r="AO46" s="160"/>
      <c r="AP46" s="160"/>
      <c r="AQ46" s="160"/>
      <c r="AR46" s="160"/>
      <c r="AS46" s="23"/>
      <c r="AT46" s="97"/>
      <c r="AU46" s="23"/>
      <c r="AV46" s="23"/>
      <c r="AW46" s="23"/>
      <c r="AX46" s="23"/>
      <c r="AY46" s="23"/>
      <c r="AZ46" s="23"/>
      <c r="BA46" s="23"/>
      <c r="BB46" s="23"/>
      <c r="BC46" s="23"/>
      <c r="BD46" s="23"/>
      <c r="BE46" s="23"/>
      <c r="BF46" s="23"/>
    </row>
    <row r="47" spans="3:58" s="157" customFormat="1" ht="15" hidden="1">
      <c r="C47" s="174" t="s">
        <v>398</v>
      </c>
      <c r="D47" s="158" t="s">
        <v>119</v>
      </c>
      <c r="E47" s="158" t="s">
        <v>119</v>
      </c>
      <c r="F47" s="159" t="s">
        <v>122</v>
      </c>
      <c r="G47" s="158" t="s">
        <v>257</v>
      </c>
      <c r="H47" s="160" t="s">
        <v>397</v>
      </c>
      <c r="I47" s="161">
        <f>SUM(R47:AT47)</f>
        <v>0</v>
      </c>
      <c r="J47" s="58">
        <v>416</v>
      </c>
      <c r="K47" s="59">
        <f>J47</f>
        <v>416</v>
      </c>
      <c r="L47" s="58">
        <v>265.12</v>
      </c>
      <c r="M47" s="162" t="str">
        <f>IF(I47=0,"-",K47*I47)</f>
        <v>-</v>
      </c>
      <c r="N47" s="162" t="str">
        <f>IF(I47=0,"-",L47*I47)</f>
        <v>-</v>
      </c>
      <c r="O47" s="163" t="str">
        <f>IFERROR((M47-N47)/M47,"-")</f>
        <v>-</v>
      </c>
      <c r="P47" s="163">
        <f>IFERROR((J47-K47)/J47,0)</f>
        <v>0</v>
      </c>
      <c r="Q47" s="164">
        <f>IFERROR(M47/$B$7,0)</f>
        <v>0</v>
      </c>
      <c r="R47" s="165"/>
      <c r="S47" s="160"/>
      <c r="T47" s="160"/>
      <c r="U47" s="160"/>
      <c r="V47" s="160"/>
      <c r="W47" s="160"/>
      <c r="X47" s="160"/>
      <c r="Y47" s="160"/>
      <c r="Z47" s="160"/>
      <c r="AA47" s="160"/>
      <c r="AB47" s="160"/>
      <c r="AC47" s="160"/>
      <c r="AD47" s="160"/>
      <c r="AE47" s="160"/>
      <c r="AF47" s="160"/>
      <c r="AG47" s="160"/>
      <c r="AH47" s="160"/>
      <c r="AI47" s="160"/>
      <c r="AJ47" s="160"/>
      <c r="AK47" s="160"/>
      <c r="AL47" s="160"/>
      <c r="AM47" s="160"/>
      <c r="AN47" s="160"/>
      <c r="AO47" s="160"/>
      <c r="AP47" s="160"/>
      <c r="AQ47" s="160"/>
      <c r="AR47" s="160"/>
      <c r="AS47" s="160"/>
      <c r="AT47" s="166"/>
      <c r="AU47" s="166"/>
      <c r="AV47" s="166"/>
      <c r="AW47" s="166"/>
      <c r="AX47" s="166"/>
      <c r="AY47" s="166"/>
      <c r="AZ47" s="166"/>
      <c r="BA47" s="166"/>
      <c r="BB47" s="166"/>
      <c r="BC47" s="166"/>
      <c r="BD47" s="166"/>
      <c r="BE47" s="166"/>
      <c r="BF47" s="166"/>
    </row>
    <row r="48" spans="3:58" ht="15">
      <c r="C48" s="68" t="s">
        <v>399</v>
      </c>
      <c r="D48" s="67">
        <f>SUM(Q49:Q50)</f>
        <v>9.5689583391157171E-3</v>
      </c>
      <c r="E48" s="68"/>
      <c r="F48" s="68"/>
      <c r="G48" s="68"/>
      <c r="H48" s="68"/>
      <c r="I48" s="68"/>
      <c r="J48" s="68"/>
      <c r="K48" s="68"/>
      <c r="L48" s="68"/>
      <c r="M48" s="68"/>
      <c r="N48" s="68"/>
      <c r="O48" s="68"/>
      <c r="P48" s="68"/>
      <c r="Q48" s="47"/>
      <c r="R48" s="52"/>
      <c r="S48" s="69"/>
      <c r="T48" s="69"/>
      <c r="U48" s="69"/>
      <c r="V48" s="69"/>
      <c r="W48" s="69"/>
      <c r="X48" s="69"/>
      <c r="Y48" s="69"/>
      <c r="Z48" s="69"/>
      <c r="AA48" s="69"/>
      <c r="AB48" s="69"/>
      <c r="AC48" s="69"/>
      <c r="AD48" s="69"/>
      <c r="AE48" s="69"/>
      <c r="AF48" s="69"/>
      <c r="AG48" s="69"/>
      <c r="AH48" s="69"/>
      <c r="AI48" s="69"/>
      <c r="AJ48" s="69"/>
      <c r="AK48" s="69"/>
      <c r="AL48" s="69"/>
      <c r="AM48" s="69"/>
      <c r="AN48" s="69"/>
      <c r="AO48" s="69"/>
      <c r="AP48" s="69"/>
      <c r="AQ48" s="69"/>
      <c r="AR48" s="69"/>
      <c r="AS48" s="69"/>
      <c r="AT48" s="99"/>
      <c r="AU48" s="99"/>
      <c r="AV48" s="99"/>
      <c r="AW48" s="99"/>
      <c r="AX48" s="99"/>
      <c r="AY48" s="99"/>
      <c r="AZ48" s="99"/>
      <c r="BA48" s="99"/>
      <c r="BB48" s="99"/>
      <c r="BC48" s="99"/>
      <c r="BD48" s="99"/>
      <c r="BE48" s="99"/>
      <c r="BF48" s="99"/>
    </row>
    <row r="49" spans="3:58" ht="15">
      <c r="C49" s="96" t="s">
        <v>400</v>
      </c>
      <c r="D49" s="56" t="s">
        <v>401</v>
      </c>
      <c r="E49" s="56"/>
      <c r="F49" s="24" t="s">
        <v>122</v>
      </c>
      <c r="G49" s="56"/>
      <c r="H49" s="23" t="s">
        <v>155</v>
      </c>
      <c r="I49" s="57">
        <f>SUM(Table13[[#This Row],[WK0]:[WK26]])</f>
        <v>39</v>
      </c>
      <c r="J49" s="58">
        <v>421.2</v>
      </c>
      <c r="K49" s="59">
        <f>J49</f>
        <v>421.2</v>
      </c>
      <c r="L49" s="58">
        <v>418.3</v>
      </c>
      <c r="M49" s="58" cm="1">
        <f t="array" ref="M49">IF(Table13[[#This Row],[Total Hours]]=0,"-",SUMPRODUCT(Table13[[#This Row],[WK0]:[WK28]], Table13[[#This Row],[Bill Rate]]*IF(COLUMN(Table13[[#This Row],[WK0]:[WK28]])-COLUMN(Table13[[#This Row],[WK0]])&gt;=$D$5, 1+$D$4, 1)))</f>
        <v>16426.800000000007</v>
      </c>
      <c r="N49" s="58" cm="1">
        <f t="array" ref="N49">IF(Table13[[#This Row],[Total Hours]]=0,"-",SUMPRODUCT(Table13[[#This Row],[WK0]:[WK28]], Table13[[#This Row],[Cost Rate]]*IF(COLUMN(Table13[[#This Row],[WK0]:[WK28]])-COLUMN(Table13[[#This Row],[WK0]])&gt;=$D$5, 1+$D$4, 1)))</f>
        <v>16313.699999999992</v>
      </c>
      <c r="O49" s="60">
        <f>IFERROR((M49-N49)/M49,"-")</f>
        <v>6.8850902184244573E-3</v>
      </c>
      <c r="P49" s="60">
        <f>IFERROR((J49-K49)/J49,0)</f>
        <v>0</v>
      </c>
      <c r="Q49" s="53">
        <f>IFERROR(M49/$B$7,0)</f>
        <v>5.0659191207083213E-3</v>
      </c>
      <c r="R49" s="48">
        <v>2</v>
      </c>
      <c r="S49" s="48">
        <v>2</v>
      </c>
      <c r="T49" s="48">
        <v>2</v>
      </c>
      <c r="U49" s="48">
        <v>2</v>
      </c>
      <c r="V49" s="48">
        <v>2</v>
      </c>
      <c r="W49" s="48">
        <v>2</v>
      </c>
      <c r="X49" s="48">
        <v>2</v>
      </c>
      <c r="Y49" s="48">
        <v>2</v>
      </c>
      <c r="Z49" s="48">
        <v>2</v>
      </c>
      <c r="AA49" s="48">
        <v>2</v>
      </c>
      <c r="AB49" s="48">
        <v>2</v>
      </c>
      <c r="AC49" s="48">
        <v>2</v>
      </c>
      <c r="AD49" s="48">
        <v>1</v>
      </c>
      <c r="AE49" s="48">
        <v>1</v>
      </c>
      <c r="AF49" s="48">
        <v>1</v>
      </c>
      <c r="AG49" s="48">
        <v>1</v>
      </c>
      <c r="AH49" s="48">
        <v>1</v>
      </c>
      <c r="AI49" s="48">
        <v>1</v>
      </c>
      <c r="AJ49" s="48">
        <v>1</v>
      </c>
      <c r="AK49" s="48">
        <v>1</v>
      </c>
      <c r="AL49" s="48">
        <v>1</v>
      </c>
      <c r="AM49" s="48">
        <v>1</v>
      </c>
      <c r="AN49" s="48">
        <v>1</v>
      </c>
      <c r="AO49" s="48">
        <v>1</v>
      </c>
      <c r="AP49" s="48">
        <v>1</v>
      </c>
      <c r="AQ49" s="48">
        <v>1</v>
      </c>
      <c r="AR49" s="48">
        <v>1</v>
      </c>
      <c r="AS49" s="23"/>
      <c r="AT49" s="97"/>
      <c r="AU49" s="97"/>
      <c r="AV49" s="97"/>
      <c r="AW49" s="97"/>
      <c r="AX49" s="97"/>
      <c r="AY49" s="97"/>
      <c r="AZ49" s="97"/>
      <c r="BA49" s="97"/>
      <c r="BB49" s="97"/>
      <c r="BC49" s="97"/>
      <c r="BD49" s="97"/>
      <c r="BE49" s="97"/>
      <c r="BF49" s="97"/>
    </row>
    <row r="50" spans="3:58" ht="15">
      <c r="C50" s="96" t="s">
        <v>402</v>
      </c>
      <c r="D50" s="56" t="s">
        <v>102</v>
      </c>
      <c r="E50" s="56"/>
      <c r="F50" s="24" t="s">
        <v>122</v>
      </c>
      <c r="G50" s="56"/>
      <c r="H50" s="23" t="s">
        <v>155</v>
      </c>
      <c r="I50" s="57">
        <f>SUM(Table13[[#This Row],[WK0]:[WK26]])</f>
        <v>156</v>
      </c>
      <c r="J50" s="58">
        <v>93.6</v>
      </c>
      <c r="K50" s="59">
        <f>J50</f>
        <v>93.6</v>
      </c>
      <c r="L50" s="58">
        <v>55.77</v>
      </c>
      <c r="M50" s="58" cm="1">
        <f t="array" ref="M50">IF(Table13[[#This Row],[Total Hours]]=0,"-",SUMPRODUCT(Table13[[#This Row],[WK0]:[WK28]], Table13[[#This Row],[Bill Rate]]*IF(COLUMN(Table13[[#This Row],[WK0]:[WK28]])-COLUMN(Table13[[#This Row],[WK0]])&gt;=$D$5, 1+$D$4, 1)))</f>
        <v>14601.600000000008</v>
      </c>
      <c r="N50" s="58" cm="1">
        <f t="array" ref="N50">IF(Table13[[#This Row],[Total Hours]]=0,"-",SUMPRODUCT(Table13[[#This Row],[WK0]:[WK28]], Table13[[#This Row],[Cost Rate]]*IF(COLUMN(Table13[[#This Row],[WK0]:[WK28]])-COLUMN(Table13[[#This Row],[WK0]])&gt;=$D$5, 1+$D$4, 1)))</f>
        <v>8700.1200000000008</v>
      </c>
      <c r="O50" s="60">
        <f>IFERROR((M50-N50)/M50,"-")</f>
        <v>0.4041666666666669</v>
      </c>
      <c r="P50" s="60">
        <f>IFERROR((J50-K50)/J50,0)</f>
        <v>0</v>
      </c>
      <c r="Q50" s="53">
        <f>IFERROR(M50/$B$7,0)</f>
        <v>4.5030392184073967E-3</v>
      </c>
      <c r="R50" s="48">
        <v>8</v>
      </c>
      <c r="S50" s="48">
        <v>8</v>
      </c>
      <c r="T50" s="48">
        <v>8</v>
      </c>
      <c r="U50" s="48">
        <v>8</v>
      </c>
      <c r="V50" s="48">
        <v>8</v>
      </c>
      <c r="W50" s="48">
        <v>6</v>
      </c>
      <c r="X50" s="48">
        <v>6</v>
      </c>
      <c r="Y50" s="48">
        <v>6</v>
      </c>
      <c r="Z50" s="48">
        <v>6</v>
      </c>
      <c r="AA50" s="48">
        <v>6</v>
      </c>
      <c r="AB50" s="48">
        <v>6</v>
      </c>
      <c r="AC50" s="48">
        <v>6</v>
      </c>
      <c r="AD50" s="48">
        <v>6</v>
      </c>
      <c r="AE50" s="48">
        <v>6</v>
      </c>
      <c r="AF50" s="48">
        <v>6</v>
      </c>
      <c r="AG50" s="48">
        <v>6</v>
      </c>
      <c r="AH50" s="48">
        <v>6</v>
      </c>
      <c r="AI50" s="48">
        <v>6</v>
      </c>
      <c r="AJ50" s="48">
        <v>6</v>
      </c>
      <c r="AK50" s="48">
        <v>6</v>
      </c>
      <c r="AL50" s="48">
        <v>6</v>
      </c>
      <c r="AM50" s="48">
        <v>6</v>
      </c>
      <c r="AN50" s="48">
        <v>4</v>
      </c>
      <c r="AO50" s="48">
        <v>4</v>
      </c>
      <c r="AP50" s="48">
        <v>2</v>
      </c>
      <c r="AQ50" s="48">
        <v>2</v>
      </c>
      <c r="AR50" s="48">
        <v>2</v>
      </c>
      <c r="AS50" s="23"/>
      <c r="AT50" s="97"/>
      <c r="AU50" s="97"/>
      <c r="AV50" s="97"/>
      <c r="AW50" s="97"/>
      <c r="AX50" s="97"/>
      <c r="AY50" s="97"/>
      <c r="AZ50" s="97"/>
      <c r="BA50" s="97"/>
      <c r="BB50" s="97"/>
      <c r="BC50" s="97"/>
      <c r="BD50" s="97"/>
      <c r="BE50" s="97"/>
      <c r="BF50" s="97"/>
    </row>
    <row r="51" spans="3:58" ht="15">
      <c r="C51" s="3"/>
      <c r="D51" s="3"/>
      <c r="E51" s="3"/>
      <c r="F51" s="3"/>
      <c r="G51" s="3"/>
      <c r="H51" s="3"/>
      <c r="I51" s="3"/>
      <c r="J51" s="3"/>
      <c r="K51" s="3"/>
      <c r="L51" s="3"/>
      <c r="M51" s="3"/>
      <c r="N51" s="3"/>
      <c r="O51" s="3"/>
      <c r="P51" s="3"/>
      <c r="Q51" s="3"/>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3"/>
      <c r="AU51" s="3"/>
      <c r="AV51" s="3"/>
      <c r="AW51" s="3"/>
      <c r="AX51" s="3"/>
      <c r="AY51" s="3"/>
      <c r="AZ51" s="3"/>
      <c r="BA51" s="3"/>
      <c r="BB51" s="3"/>
      <c r="BC51" s="3"/>
      <c r="BD51" s="3"/>
      <c r="BE51" s="3"/>
      <c r="BF51" s="3"/>
    </row>
    <row r="52" spans="3:58" ht="15">
      <c r="C52" s="8"/>
      <c r="D52" s="8"/>
      <c r="E52" s="9"/>
      <c r="F52" s="9"/>
      <c r="G52" s="4"/>
      <c r="H52" s="9"/>
      <c r="I52" s="4"/>
      <c r="J52" s="4"/>
      <c r="K52" s="4"/>
      <c r="L52" s="10"/>
      <c r="M52" s="5"/>
      <c r="N52" s="5"/>
      <c r="O52" s="27"/>
      <c r="P52" s="5"/>
      <c r="Q52" s="27"/>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3"/>
      <c r="AU52" s="3"/>
      <c r="AV52" s="3"/>
      <c r="AW52" s="3"/>
      <c r="AX52" s="3"/>
      <c r="AY52" s="3"/>
      <c r="AZ52" s="3"/>
      <c r="BA52" s="3"/>
      <c r="BB52" s="3"/>
      <c r="BC52" s="3"/>
      <c r="BD52" s="3"/>
      <c r="BE52" s="3"/>
      <c r="BF52" s="3"/>
    </row>
    <row r="53" spans="3:58" ht="15">
      <c r="C53" s="8"/>
      <c r="D53" s="3"/>
      <c r="E53" s="3"/>
      <c r="F53" s="3"/>
      <c r="G53" s="3"/>
      <c r="H53" s="3"/>
      <c r="I53" s="4"/>
      <c r="J53" s="4"/>
      <c r="K53" s="4"/>
      <c r="L53" s="3"/>
      <c r="M53" s="5"/>
      <c r="N53" s="5"/>
      <c r="O53" s="5"/>
      <c r="P53" s="5"/>
      <c r="Q53" s="27"/>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3"/>
      <c r="AU53" s="3"/>
      <c r="AV53" s="3"/>
      <c r="AW53" s="3"/>
      <c r="AX53" s="3"/>
      <c r="AY53" s="3"/>
      <c r="AZ53" s="3"/>
      <c r="BA53" s="3"/>
      <c r="BB53" s="3"/>
      <c r="BC53" s="3"/>
      <c r="BD53" s="3"/>
      <c r="BE53" s="3"/>
      <c r="BF53" s="3"/>
    </row>
    <row r="54" spans="3:58" ht="15">
      <c r="C54" s="3"/>
      <c r="D54" s="3"/>
      <c r="E54" s="3"/>
      <c r="F54" s="3"/>
      <c r="G54" s="3"/>
      <c r="H54" s="3"/>
      <c r="I54" s="7"/>
      <c r="J54" s="7"/>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row>
    <row r="55" spans="3:58" ht="15">
      <c r="C55" s="3"/>
      <c r="D55" s="3"/>
      <c r="E55" s="3"/>
      <c r="F55" s="3"/>
      <c r="G55" s="3"/>
      <c r="H55" s="3"/>
      <c r="I55" s="7"/>
      <c r="J55" s="7"/>
      <c r="K55" s="3"/>
      <c r="L55" s="3"/>
      <c r="M55" s="3"/>
      <c r="N55" s="3"/>
      <c r="O55" s="3"/>
      <c r="P55" s="3"/>
      <c r="Q55" s="3"/>
      <c r="R55" s="3"/>
      <c r="S55" s="3"/>
      <c r="T55"/>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row>
    <row r="56" spans="3:58" ht="15">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row>
    <row r="59" spans="3:58" ht="15">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row>
    <row r="60" spans="3:58" ht="15">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row>
    <row r="61" spans="3:58" ht="15">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row>
    <row r="62" spans="3:58" ht="15">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row>
    <row r="63" spans="3:58" ht="15">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row>
    <row r="64" spans="3:58" ht="15">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row>
    <row r="65" spans="3:58" ht="15">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row>
    <row r="66" spans="3:58" ht="15">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row>
  </sheetData>
  <mergeCells count="17">
    <mergeCell ref="W17:X17"/>
    <mergeCell ref="Y17:Z17"/>
    <mergeCell ref="AA17:AB17"/>
    <mergeCell ref="AC17:AD17"/>
    <mergeCell ref="C14:D14"/>
    <mergeCell ref="E14:I14"/>
    <mergeCell ref="C15:D15"/>
    <mergeCell ref="E15:I15"/>
    <mergeCell ref="S17:T17"/>
    <mergeCell ref="U17:V17"/>
    <mergeCell ref="AO17:AP17"/>
    <mergeCell ref="AQ17:AR17"/>
    <mergeCell ref="AE17:AF17"/>
    <mergeCell ref="AG17:AH17"/>
    <mergeCell ref="AI17:AJ17"/>
    <mergeCell ref="AK17:AL17"/>
    <mergeCell ref="AM17:AN17"/>
  </mergeCells>
  <phoneticPr fontId="15" type="noConversion"/>
  <conditionalFormatting sqref="B6">
    <cfRule type="cellIs" dxfId="66" priority="9" operator="equal">
      <formula>"-"</formula>
    </cfRule>
    <cfRule type="cellIs" dxfId="65" priority="10" operator="greaterThan">
      <formula>0.0000001</formula>
    </cfRule>
    <cfRule type="cellIs" dxfId="64" priority="11" operator="lessThan">
      <formula>-0.00000001</formula>
    </cfRule>
  </conditionalFormatting>
  <conditionalFormatting sqref="D7">
    <cfRule type="cellIs" dxfId="63" priority="2" operator="equal">
      <formula>0</formula>
    </cfRule>
    <cfRule type="cellIs" dxfId="62" priority="3" operator="greaterThan">
      <formula>0</formula>
    </cfRule>
    <cfRule type="cellIs" dxfId="61" priority="4" operator="lessThan">
      <formula>0</formula>
    </cfRule>
  </conditionalFormatting>
  <conditionalFormatting sqref="O20:O24 O26:O41 O43:O47 O49:O50">
    <cfRule type="cellIs" dxfId="60" priority="5" operator="equal">
      <formula>0</formula>
    </cfRule>
  </conditionalFormatting>
  <conditionalFormatting sqref="O49:O50 O20:O24 O43:O47 O26:O41">
    <cfRule type="colorScale" priority="15">
      <colorScale>
        <cfvo type="min"/>
        <cfvo type="percentile" val="50"/>
        <cfvo type="max"/>
        <color rgb="FFF8696B"/>
        <color rgb="FFFFEB84"/>
        <color rgb="FF63BE7B"/>
      </colorScale>
    </cfRule>
  </conditionalFormatting>
  <conditionalFormatting sqref="P20:P24 P26:P41 P43:P47 P49:P50">
    <cfRule type="cellIs" dxfId="59" priority="7" operator="greaterThan">
      <formula>0</formula>
    </cfRule>
  </conditionalFormatting>
  <dataValidations count="3">
    <dataValidation type="list" allowBlank="1" showInputMessage="1" showErrorMessage="1" sqref="G43:G47 G49:G50 G20:G24 G26:G41" xr:uid="{3B8A2263-8AC6-41D6-B49A-8E887923873A}">
      <formula1>_xlfn.XLOOKUP(E20,RoleNames,RoleNameSource)</formula1>
    </dataValidation>
    <dataValidation type="list" allowBlank="1" showInputMessage="1" showErrorMessage="1" sqref="E43:E47 E49:E50 E20:E24 E26:E41" xr:uid="{CF2897DD-7BCF-4B13-8A97-6A4BFF9C4640}">
      <formula1>_xlfn.XLOOKUP(D20,RoleNames,RoleNameSource)</formula1>
    </dataValidation>
    <dataValidation type="list" allowBlank="1" showInputMessage="1" showErrorMessage="1" sqref="G49:G50 G43:G47 G20:G24 G26:G41" xr:uid="{74D3C299-3AB7-4F6E-AA9C-C6C5E253D391}">
      <formula1>"FTE,Partner"</formula1>
    </dataValidation>
  </dataValidations>
  <hyperlinks>
    <hyperlink ref="E14" r:id="rId1" display="https://apps.powerapps.com/play/e/9c331628-968f-e055-9ca7-99aabd670808/a/8146be04-0344-480c-9b44-4e421fb56ce6?tenantId=72f988bf-86f1-41af-91ab-2d7cd011db47&amp;amp;hint=484515ee-7a7c-4539-9d8f-44ecba3fa055&amp;amp;sourcetime=1704257217097&amp;amp;source=portal&amp;source=teamsLinkUnfurling" xr:uid="{8764FCAB-6D94-482D-BD7F-E14D6B8C385A}"/>
    <hyperlink ref="E15:I15" r:id="rId2" display="Compliance Security Estimator" xr:uid="{1E0A3B58-A7FA-4EA0-B50C-6D20CF056135}"/>
  </hyperlinks>
  <pageMargins left="0.7" right="0.7" top="0.75" bottom="0.75" header="0.3" footer="0.3"/>
  <pageSetup orientation="portrait" r:id="rId3"/>
  <drawing r:id="rId4"/>
  <legacyDrawing r:id="rId5"/>
  <tableParts count="1">
    <tablePart r:id="rId6"/>
  </tableParts>
  <extLst>
    <ext xmlns:x14="http://schemas.microsoft.com/office/spreadsheetml/2009/9/main" uri="{78C0D931-6437-407d-A8EE-F0AAD7539E65}">
      <x14:conditionalFormattings>
        <x14:conditionalFormatting xmlns:xm="http://schemas.microsoft.com/office/excel/2006/main">
          <x14:cfRule type="expression" priority="1" id="{655F60F7-AB4B-4667-A768-3D58E49BB91D}">
            <xm:f>WBS!N4&gt;F7</xm:f>
            <x14:dxf>
              <fill>
                <patternFill>
                  <bgColor rgb="FFFF0000"/>
                </patternFill>
              </fill>
            </x14:dxf>
          </x14:cfRule>
          <xm:sqref>F7:F11</xm:sqref>
        </x14:conditionalFormatting>
        <x14:conditionalFormatting xmlns:xm="http://schemas.microsoft.com/office/excel/2006/main">
          <x14:cfRule type="iconSet" priority="16" id="{490811ED-E17D-4FB6-B94E-26E1EAF61947}">
            <x14:iconSet iconSet="4ArrowsGray" custom="1">
              <x14:cfvo type="percent">
                <xm:f>0</xm:f>
              </x14:cfvo>
              <x14:cfvo type="percent">
                <xm:f>25</xm:f>
              </x14:cfvo>
              <x14:cfvo type="percent">
                <xm:f>50</xm:f>
              </x14:cfvo>
              <x14:cfvo type="percent">
                <xm:f>75</xm:f>
              </x14:cfvo>
              <x14:cfIcon iconSet="3ArrowsGray" iconId="0"/>
              <x14:cfIcon iconSet="4ArrowsGray" iconId="1"/>
              <x14:cfIcon iconSet="4ArrowsGray" iconId="2"/>
              <x14:cfIcon iconSet="3ArrowsGray" iconId="2"/>
            </x14:iconSet>
          </x14:cfRule>
          <xm:sqref>O49:O50 O20:O24 O43:O47 O26:O41</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F3210675-1CE8-4B09-B11F-A9428FD3CF32}">
          <x14:formula1>
            <xm:f>Helper3!$A$2:$A$34</xm:f>
          </x14:formula1>
          <xm:sqref>F49:F50 F43:F47 F20:F24 F26:F41</xm:sqref>
        </x14:dataValidation>
        <x14:dataValidation type="list" allowBlank="1" showInputMessage="1" showErrorMessage="1" xr:uid="{1ADC0E47-EA3E-4E37-B002-7B1A4C18704B}">
          <x14:formula1>
            <xm:f>SkillList!$A$1:$A$1174</xm:f>
          </x14:formula1>
          <xm:sqref>D63:D64</xm:sqref>
        </x14:dataValidation>
        <x14:dataValidation type="list" allowBlank="1" showInputMessage="1" showErrorMessage="1" xr:uid="{35A07455-DCE7-49EA-8253-81C25933DE39}">
          <x14:formula1>
            <xm:f>Rates!$A$2:$A$26</xm:f>
          </x14:formula1>
          <xm:sqref>D49:D50 D43:D47 D20:D24 D26:D41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A8E14-EE69-4A46-BC4C-6A0B73A8E94C}">
  <dimension ref="B2:I13"/>
  <sheetViews>
    <sheetView workbookViewId="0">
      <selection activeCell="K13" sqref="K13"/>
    </sheetView>
  </sheetViews>
  <sheetFormatPr defaultRowHeight="14.45"/>
  <cols>
    <col min="2" max="2" width="15.42578125" bestFit="1" customWidth="1"/>
    <col min="3" max="3" width="12" bestFit="1" customWidth="1"/>
    <col min="4" max="4" width="18.42578125" bestFit="1" customWidth="1"/>
    <col min="5" max="5" width="18.7109375" customWidth="1"/>
    <col min="6" max="6" width="17" customWidth="1"/>
    <col min="7" max="7" width="17.28515625" customWidth="1"/>
    <col min="8" max="8" width="15.7109375" customWidth="1"/>
    <col min="9" max="9" width="16.140625" customWidth="1"/>
  </cols>
  <sheetData>
    <row r="2" spans="2:9">
      <c r="B2" s="181" t="s">
        <v>403</v>
      </c>
      <c r="C2" s="182"/>
      <c r="D2" s="182"/>
      <c r="E2" s="182"/>
      <c r="F2" s="182"/>
      <c r="G2" s="182"/>
      <c r="H2" s="182"/>
      <c r="I2" s="182"/>
    </row>
    <row r="4" spans="2:9" ht="27.6">
      <c r="B4" s="132" t="s">
        <v>252</v>
      </c>
      <c r="C4" s="132" t="s">
        <v>253</v>
      </c>
      <c r="D4" s="132" t="s">
        <v>404</v>
      </c>
      <c r="E4" s="132" t="s">
        <v>405</v>
      </c>
      <c r="F4" s="132" t="s">
        <v>406</v>
      </c>
      <c r="G4" s="132" t="s">
        <v>407</v>
      </c>
      <c r="H4" s="132" t="s">
        <v>408</v>
      </c>
      <c r="I4" s="132" t="s">
        <v>409</v>
      </c>
    </row>
    <row r="5" spans="2:9">
      <c r="B5" s="150" t="s">
        <v>252</v>
      </c>
      <c r="C5" s="150" t="s">
        <v>253</v>
      </c>
      <c r="D5" s="150" t="s">
        <v>404</v>
      </c>
      <c r="E5" s="143" t="s">
        <v>405</v>
      </c>
      <c r="F5" s="151" t="s">
        <v>406</v>
      </c>
      <c r="G5" s="151" t="s">
        <v>407</v>
      </c>
      <c r="H5" s="151" t="s">
        <v>408</v>
      </c>
      <c r="I5" s="151" t="s">
        <v>409</v>
      </c>
    </row>
    <row r="6" spans="2:9">
      <c r="B6" s="133">
        <v>2027</v>
      </c>
      <c r="C6" s="134">
        <v>30000</v>
      </c>
      <c r="D6" s="135">
        <v>111.74449999999999</v>
      </c>
      <c r="E6" s="136">
        <v>3352334.9999999995</v>
      </c>
      <c r="F6" s="137">
        <v>3352334.9999999995</v>
      </c>
      <c r="G6" s="137">
        <v>0</v>
      </c>
      <c r="H6" s="137">
        <v>0</v>
      </c>
      <c r="I6" s="137">
        <v>0</v>
      </c>
    </row>
    <row r="7" spans="2:9">
      <c r="B7" s="133">
        <v>2028</v>
      </c>
      <c r="C7" s="134">
        <v>510000</v>
      </c>
      <c r="D7" s="135">
        <v>111.74449999999999</v>
      </c>
      <c r="E7" s="136">
        <v>56989694.999999993</v>
      </c>
      <c r="F7" s="137">
        <v>16761674.999999998</v>
      </c>
      <c r="G7" s="137">
        <v>29053569.999999996</v>
      </c>
      <c r="H7" s="137">
        <v>11174449.999999998</v>
      </c>
      <c r="I7" s="137">
        <v>0</v>
      </c>
    </row>
    <row r="8" spans="2:9">
      <c r="B8" s="133">
        <v>2029</v>
      </c>
      <c r="C8" s="134">
        <v>875500</v>
      </c>
      <c r="D8" s="135">
        <v>111.74449999999999</v>
      </c>
      <c r="E8" s="136">
        <v>97832309.749999985</v>
      </c>
      <c r="F8" s="137">
        <v>27936124.999999996</v>
      </c>
      <c r="G8" s="137">
        <v>55872249.999999993</v>
      </c>
      <c r="H8" s="137">
        <v>11174449.999999998</v>
      </c>
      <c r="I8" s="137">
        <v>2849484.7499999995</v>
      </c>
    </row>
    <row r="9" spans="2:9">
      <c r="B9" s="133">
        <v>2030</v>
      </c>
      <c r="C9" s="134">
        <v>1924500</v>
      </c>
      <c r="D9" s="135">
        <v>111.74449999999999</v>
      </c>
      <c r="E9" s="136">
        <v>215052290.24999997</v>
      </c>
      <c r="F9" s="137">
        <v>44697799.999999993</v>
      </c>
      <c r="G9" s="137">
        <v>83808374.999999985</v>
      </c>
      <c r="H9" s="137">
        <v>44697799.999999993</v>
      </c>
      <c r="I9" s="137">
        <v>41848315.249999993</v>
      </c>
    </row>
    <row r="10" spans="2:9">
      <c r="B10" s="133">
        <v>2031</v>
      </c>
      <c r="C10" s="134">
        <v>2342500</v>
      </c>
      <c r="D10" s="135">
        <v>111.74449999999999</v>
      </c>
      <c r="E10" s="136">
        <v>261761491.24999997</v>
      </c>
      <c r="F10" s="137">
        <v>44697799.999999993</v>
      </c>
      <c r="G10" s="137">
        <v>83808374.999999985</v>
      </c>
      <c r="H10" s="137">
        <v>53637359.999999993</v>
      </c>
      <c r="I10" s="137">
        <v>79617956.249999985</v>
      </c>
    </row>
    <row r="11" spans="2:9">
      <c r="B11" s="152">
        <v>2032</v>
      </c>
      <c r="C11" s="153">
        <v>2585000</v>
      </c>
      <c r="D11" s="154">
        <v>111.74449999999999</v>
      </c>
      <c r="E11" s="155">
        <v>288859532.49999994</v>
      </c>
      <c r="F11" s="155">
        <v>40228019.999999993</v>
      </c>
      <c r="G11" s="155">
        <v>83808374.999999985</v>
      </c>
      <c r="H11" s="155">
        <v>53637359.999999993</v>
      </c>
      <c r="I11" s="155">
        <v>111185777.49999999</v>
      </c>
    </row>
    <row r="12" spans="2:9">
      <c r="B12" s="138"/>
      <c r="C12" s="138"/>
      <c r="D12" s="139"/>
      <c r="E12" s="138"/>
      <c r="F12" s="138"/>
      <c r="G12" s="138"/>
      <c r="H12" s="138"/>
      <c r="I12" s="138"/>
    </row>
    <row r="13" spans="2:9">
      <c r="B13" t="s">
        <v>410</v>
      </c>
      <c r="C13" s="153">
        <v>8267500</v>
      </c>
      <c r="E13" s="155">
        <v>923847653.74999976</v>
      </c>
      <c r="F13" s="155">
        <v>177673754.99999997</v>
      </c>
      <c r="G13" s="155">
        <v>336350944.99999994</v>
      </c>
      <c r="H13" s="155">
        <v>174321419.99999997</v>
      </c>
      <c r="I13" s="155">
        <v>235501533.74999994</v>
      </c>
    </row>
  </sheetData>
  <mergeCells count="1">
    <mergeCell ref="B2:I2"/>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AD06D-2227-41CC-A3B6-B96C0F45C3CB}">
  <dimension ref="A1:A1453"/>
  <sheetViews>
    <sheetView workbookViewId="0">
      <selection activeCell="B38" sqref="B38"/>
    </sheetView>
  </sheetViews>
  <sheetFormatPr defaultRowHeight="14.45"/>
  <cols>
    <col min="1" max="1" width="87" bestFit="1" customWidth="1"/>
  </cols>
  <sheetData>
    <row r="1" spans="1:1">
      <c r="A1" s="26" t="s">
        <v>411</v>
      </c>
    </row>
    <row r="2" spans="1:1">
      <c r="A2" s="26" t="s">
        <v>412</v>
      </c>
    </row>
    <row r="3" spans="1:1">
      <c r="A3" s="26" t="s">
        <v>413</v>
      </c>
    </row>
    <row r="4" spans="1:1">
      <c r="A4" s="26" t="s">
        <v>414</v>
      </c>
    </row>
    <row r="5" spans="1:1">
      <c r="A5" s="26" t="s">
        <v>415</v>
      </c>
    </row>
    <row r="6" spans="1:1">
      <c r="A6" s="26" t="s">
        <v>416</v>
      </c>
    </row>
    <row r="7" spans="1:1">
      <c r="A7" s="26" t="s">
        <v>417</v>
      </c>
    </row>
    <row r="8" spans="1:1">
      <c r="A8" s="26" t="s">
        <v>418</v>
      </c>
    </row>
    <row r="9" spans="1:1">
      <c r="A9" s="26" t="s">
        <v>419</v>
      </c>
    </row>
    <row r="10" spans="1:1">
      <c r="A10" s="26" t="s">
        <v>420</v>
      </c>
    </row>
    <row r="11" spans="1:1">
      <c r="A11" s="26" t="s">
        <v>421</v>
      </c>
    </row>
    <row r="12" spans="1:1">
      <c r="A12" s="26" t="s">
        <v>422</v>
      </c>
    </row>
    <row r="13" spans="1:1">
      <c r="A13" s="26" t="s">
        <v>423</v>
      </c>
    </row>
    <row r="14" spans="1:1">
      <c r="A14" s="26" t="s">
        <v>424</v>
      </c>
    </row>
    <row r="15" spans="1:1">
      <c r="A15" s="26" t="s">
        <v>425</v>
      </c>
    </row>
    <row r="16" spans="1:1">
      <c r="A16" s="26" t="s">
        <v>426</v>
      </c>
    </row>
    <row r="17" spans="1:1">
      <c r="A17" s="26" t="s">
        <v>427</v>
      </c>
    </row>
    <row r="18" spans="1:1">
      <c r="A18" s="26" t="s">
        <v>428</v>
      </c>
    </row>
    <row r="19" spans="1:1">
      <c r="A19" s="26" t="s">
        <v>429</v>
      </c>
    </row>
    <row r="20" spans="1:1">
      <c r="A20" s="26" t="s">
        <v>430</v>
      </c>
    </row>
    <row r="21" spans="1:1">
      <c r="A21" s="26" t="s">
        <v>431</v>
      </c>
    </row>
    <row r="22" spans="1:1">
      <c r="A22" s="26" t="s">
        <v>432</v>
      </c>
    </row>
    <row r="23" spans="1:1">
      <c r="A23" s="26" t="s">
        <v>433</v>
      </c>
    </row>
    <row r="24" spans="1:1">
      <c r="A24" s="26" t="s">
        <v>434</v>
      </c>
    </row>
    <row r="25" spans="1:1">
      <c r="A25" s="26" t="s">
        <v>435</v>
      </c>
    </row>
    <row r="26" spans="1:1">
      <c r="A26" s="26" t="s">
        <v>436</v>
      </c>
    </row>
    <row r="27" spans="1:1">
      <c r="A27" s="26" t="s">
        <v>437</v>
      </c>
    </row>
    <row r="28" spans="1:1">
      <c r="A28" s="26" t="s">
        <v>438</v>
      </c>
    </row>
    <row r="29" spans="1:1">
      <c r="A29" s="26" t="s">
        <v>439</v>
      </c>
    </row>
    <row r="30" spans="1:1">
      <c r="A30" s="26" t="s">
        <v>440</v>
      </c>
    </row>
    <row r="31" spans="1:1">
      <c r="A31" s="26" t="s">
        <v>441</v>
      </c>
    </row>
    <row r="32" spans="1:1">
      <c r="A32" s="26" t="s">
        <v>442</v>
      </c>
    </row>
    <row r="33" spans="1:1">
      <c r="A33" s="26" t="s">
        <v>443</v>
      </c>
    </row>
    <row r="34" spans="1:1">
      <c r="A34" s="26" t="s">
        <v>444</v>
      </c>
    </row>
    <row r="35" spans="1:1">
      <c r="A35" s="26" t="s">
        <v>445</v>
      </c>
    </row>
    <row r="36" spans="1:1">
      <c r="A36" s="26" t="s">
        <v>446</v>
      </c>
    </row>
    <row r="37" spans="1:1">
      <c r="A37" s="26" t="s">
        <v>447</v>
      </c>
    </row>
    <row r="38" spans="1:1">
      <c r="A38" s="26" t="s">
        <v>448</v>
      </c>
    </row>
    <row r="39" spans="1:1">
      <c r="A39" s="26" t="s">
        <v>449</v>
      </c>
    </row>
    <row r="40" spans="1:1">
      <c r="A40" s="26" t="s">
        <v>450</v>
      </c>
    </row>
    <row r="41" spans="1:1">
      <c r="A41" s="26" t="s">
        <v>451</v>
      </c>
    </row>
    <row r="42" spans="1:1">
      <c r="A42" s="26" t="s">
        <v>452</v>
      </c>
    </row>
    <row r="43" spans="1:1">
      <c r="A43" s="26" t="s">
        <v>453</v>
      </c>
    </row>
    <row r="44" spans="1:1">
      <c r="A44" s="26" t="s">
        <v>454</v>
      </c>
    </row>
    <row r="45" spans="1:1">
      <c r="A45" s="26" t="s">
        <v>455</v>
      </c>
    </row>
    <row r="46" spans="1:1">
      <c r="A46" s="26" t="s">
        <v>456</v>
      </c>
    </row>
    <row r="47" spans="1:1">
      <c r="A47" s="26" t="s">
        <v>457</v>
      </c>
    </row>
    <row r="48" spans="1:1">
      <c r="A48" s="26" t="s">
        <v>458</v>
      </c>
    </row>
    <row r="49" spans="1:1">
      <c r="A49" s="26" t="s">
        <v>459</v>
      </c>
    </row>
    <row r="50" spans="1:1">
      <c r="A50" s="26" t="s">
        <v>460</v>
      </c>
    </row>
    <row r="51" spans="1:1">
      <c r="A51" s="26" t="s">
        <v>461</v>
      </c>
    </row>
    <row r="52" spans="1:1">
      <c r="A52" s="26" t="s">
        <v>462</v>
      </c>
    </row>
    <row r="53" spans="1:1">
      <c r="A53" s="26" t="s">
        <v>463</v>
      </c>
    </row>
    <row r="54" spans="1:1">
      <c r="A54" s="26" t="s">
        <v>464</v>
      </c>
    </row>
    <row r="55" spans="1:1">
      <c r="A55" s="26" t="s">
        <v>465</v>
      </c>
    </row>
    <row r="56" spans="1:1">
      <c r="A56" s="26" t="s">
        <v>465</v>
      </c>
    </row>
    <row r="57" spans="1:1">
      <c r="A57" s="26" t="s">
        <v>466</v>
      </c>
    </row>
    <row r="58" spans="1:1">
      <c r="A58" s="26" t="s">
        <v>467</v>
      </c>
    </row>
    <row r="59" spans="1:1">
      <c r="A59" s="26" t="s">
        <v>468</v>
      </c>
    </row>
    <row r="60" spans="1:1">
      <c r="A60" s="26" t="s">
        <v>469</v>
      </c>
    </row>
    <row r="61" spans="1:1">
      <c r="A61" s="26" t="s">
        <v>470</v>
      </c>
    </row>
    <row r="62" spans="1:1">
      <c r="A62" s="26" t="s">
        <v>471</v>
      </c>
    </row>
    <row r="63" spans="1:1">
      <c r="A63" s="26" t="s">
        <v>472</v>
      </c>
    </row>
    <row r="64" spans="1:1">
      <c r="A64" s="26" t="s">
        <v>473</v>
      </c>
    </row>
    <row r="65" spans="1:1">
      <c r="A65" s="26" t="s">
        <v>474</v>
      </c>
    </row>
    <row r="66" spans="1:1">
      <c r="A66" s="26" t="s">
        <v>475</v>
      </c>
    </row>
    <row r="67" spans="1:1">
      <c r="A67" s="26" t="s">
        <v>476</v>
      </c>
    </row>
    <row r="68" spans="1:1">
      <c r="A68" s="26" t="s">
        <v>477</v>
      </c>
    </row>
    <row r="69" spans="1:1">
      <c r="A69" s="26" t="s">
        <v>478</v>
      </c>
    </row>
    <row r="70" spans="1:1">
      <c r="A70" s="26" t="s">
        <v>479</v>
      </c>
    </row>
    <row r="71" spans="1:1">
      <c r="A71" s="26" t="s">
        <v>480</v>
      </c>
    </row>
    <row r="72" spans="1:1">
      <c r="A72" s="26" t="s">
        <v>481</v>
      </c>
    </row>
    <row r="73" spans="1:1">
      <c r="A73" s="26" t="s">
        <v>482</v>
      </c>
    </row>
    <row r="74" spans="1:1">
      <c r="A74" s="26" t="s">
        <v>483</v>
      </c>
    </row>
    <row r="75" spans="1:1">
      <c r="A75" s="26" t="s">
        <v>484</v>
      </c>
    </row>
    <row r="76" spans="1:1">
      <c r="A76" s="26" t="s">
        <v>485</v>
      </c>
    </row>
    <row r="77" spans="1:1">
      <c r="A77" s="26" t="s">
        <v>486</v>
      </c>
    </row>
    <row r="78" spans="1:1">
      <c r="A78" s="26" t="s">
        <v>487</v>
      </c>
    </row>
    <row r="79" spans="1:1">
      <c r="A79" s="26" t="s">
        <v>488</v>
      </c>
    </row>
    <row r="80" spans="1:1">
      <c r="A80" s="26" t="s">
        <v>489</v>
      </c>
    </row>
    <row r="81" spans="1:1">
      <c r="A81" s="26" t="s">
        <v>490</v>
      </c>
    </row>
    <row r="82" spans="1:1">
      <c r="A82" s="26" t="s">
        <v>491</v>
      </c>
    </row>
    <row r="83" spans="1:1">
      <c r="A83" s="26" t="s">
        <v>492</v>
      </c>
    </row>
    <row r="84" spans="1:1">
      <c r="A84" s="26" t="s">
        <v>493</v>
      </c>
    </row>
    <row r="85" spans="1:1">
      <c r="A85" s="26" t="s">
        <v>494</v>
      </c>
    </row>
    <row r="86" spans="1:1">
      <c r="A86" s="26" t="s">
        <v>495</v>
      </c>
    </row>
    <row r="87" spans="1:1">
      <c r="A87" s="26" t="s">
        <v>496</v>
      </c>
    </row>
    <row r="88" spans="1:1">
      <c r="A88" s="26" t="s">
        <v>497</v>
      </c>
    </row>
    <row r="89" spans="1:1">
      <c r="A89" s="26" t="s">
        <v>498</v>
      </c>
    </row>
    <row r="90" spans="1:1">
      <c r="A90" s="26" t="s">
        <v>499</v>
      </c>
    </row>
    <row r="91" spans="1:1">
      <c r="A91" s="26" t="s">
        <v>500</v>
      </c>
    </row>
    <row r="92" spans="1:1">
      <c r="A92" s="26" t="s">
        <v>501</v>
      </c>
    </row>
    <row r="93" spans="1:1">
      <c r="A93" s="26" t="s">
        <v>502</v>
      </c>
    </row>
    <row r="94" spans="1:1">
      <c r="A94" s="26" t="s">
        <v>503</v>
      </c>
    </row>
    <row r="95" spans="1:1">
      <c r="A95" s="26" t="s">
        <v>504</v>
      </c>
    </row>
    <row r="96" spans="1:1">
      <c r="A96" s="26" t="s">
        <v>505</v>
      </c>
    </row>
    <row r="97" spans="1:1">
      <c r="A97" s="26" t="s">
        <v>506</v>
      </c>
    </row>
    <row r="98" spans="1:1">
      <c r="A98" s="26" t="s">
        <v>507</v>
      </c>
    </row>
    <row r="99" spans="1:1">
      <c r="A99" s="26" t="s">
        <v>508</v>
      </c>
    </row>
    <row r="100" spans="1:1">
      <c r="A100" s="26" t="s">
        <v>509</v>
      </c>
    </row>
    <row r="101" spans="1:1">
      <c r="A101" s="26" t="s">
        <v>510</v>
      </c>
    </row>
    <row r="102" spans="1:1">
      <c r="A102" s="26" t="s">
        <v>511</v>
      </c>
    </row>
    <row r="103" spans="1:1">
      <c r="A103" s="26" t="s">
        <v>512</v>
      </c>
    </row>
    <row r="104" spans="1:1">
      <c r="A104" s="26" t="s">
        <v>513</v>
      </c>
    </row>
    <row r="105" spans="1:1">
      <c r="A105" s="26" t="s">
        <v>514</v>
      </c>
    </row>
    <row r="106" spans="1:1">
      <c r="A106" s="26" t="s">
        <v>515</v>
      </c>
    </row>
    <row r="107" spans="1:1">
      <c r="A107" s="26" t="s">
        <v>516</v>
      </c>
    </row>
    <row r="108" spans="1:1">
      <c r="A108" s="26" t="s">
        <v>517</v>
      </c>
    </row>
    <row r="109" spans="1:1">
      <c r="A109" s="26" t="s">
        <v>518</v>
      </c>
    </row>
    <row r="110" spans="1:1">
      <c r="A110" s="26" t="s">
        <v>519</v>
      </c>
    </row>
    <row r="111" spans="1:1">
      <c r="A111" s="26" t="s">
        <v>520</v>
      </c>
    </row>
    <row r="112" spans="1:1">
      <c r="A112" s="26" t="s">
        <v>521</v>
      </c>
    </row>
    <row r="113" spans="1:1">
      <c r="A113" s="26" t="s">
        <v>522</v>
      </c>
    </row>
    <row r="114" spans="1:1">
      <c r="A114" s="26" t="s">
        <v>523</v>
      </c>
    </row>
    <row r="115" spans="1:1">
      <c r="A115" s="26" t="s">
        <v>524</v>
      </c>
    </row>
    <row r="116" spans="1:1">
      <c r="A116" s="26" t="s">
        <v>525</v>
      </c>
    </row>
    <row r="117" spans="1:1">
      <c r="A117" s="26" t="s">
        <v>526</v>
      </c>
    </row>
    <row r="118" spans="1:1">
      <c r="A118" s="26" t="s">
        <v>527</v>
      </c>
    </row>
    <row r="119" spans="1:1">
      <c r="A119" s="26" t="s">
        <v>528</v>
      </c>
    </row>
    <row r="120" spans="1:1">
      <c r="A120" s="26" t="s">
        <v>529</v>
      </c>
    </row>
    <row r="121" spans="1:1">
      <c r="A121" s="26" t="s">
        <v>530</v>
      </c>
    </row>
    <row r="122" spans="1:1">
      <c r="A122" s="26" t="s">
        <v>531</v>
      </c>
    </row>
    <row r="123" spans="1:1">
      <c r="A123" s="26" t="s">
        <v>532</v>
      </c>
    </row>
    <row r="124" spans="1:1">
      <c r="A124" s="26" t="s">
        <v>533</v>
      </c>
    </row>
    <row r="125" spans="1:1">
      <c r="A125" s="26" t="s">
        <v>534</v>
      </c>
    </row>
    <row r="126" spans="1:1">
      <c r="A126" s="26" t="s">
        <v>535</v>
      </c>
    </row>
    <row r="127" spans="1:1">
      <c r="A127" s="26" t="s">
        <v>536</v>
      </c>
    </row>
    <row r="128" spans="1:1">
      <c r="A128" s="26" t="s">
        <v>537</v>
      </c>
    </row>
    <row r="129" spans="1:1">
      <c r="A129" s="26" t="s">
        <v>538</v>
      </c>
    </row>
    <row r="130" spans="1:1">
      <c r="A130" s="26" t="s">
        <v>539</v>
      </c>
    </row>
    <row r="131" spans="1:1">
      <c r="A131" s="26" t="s">
        <v>540</v>
      </c>
    </row>
    <row r="132" spans="1:1">
      <c r="A132" s="26" t="s">
        <v>541</v>
      </c>
    </row>
    <row r="133" spans="1:1">
      <c r="A133" s="26" t="s">
        <v>542</v>
      </c>
    </row>
    <row r="134" spans="1:1">
      <c r="A134" s="26" t="s">
        <v>543</v>
      </c>
    </row>
    <row r="135" spans="1:1">
      <c r="A135" s="26" t="s">
        <v>544</v>
      </c>
    </row>
    <row r="136" spans="1:1">
      <c r="A136" s="26" t="s">
        <v>545</v>
      </c>
    </row>
    <row r="137" spans="1:1">
      <c r="A137" s="26" t="s">
        <v>546</v>
      </c>
    </row>
    <row r="138" spans="1:1">
      <c r="A138" s="26" t="s">
        <v>547</v>
      </c>
    </row>
    <row r="139" spans="1:1">
      <c r="A139" s="26" t="s">
        <v>548</v>
      </c>
    </row>
    <row r="140" spans="1:1">
      <c r="A140" s="26" t="s">
        <v>549</v>
      </c>
    </row>
    <row r="141" spans="1:1">
      <c r="A141" s="26" t="s">
        <v>550</v>
      </c>
    </row>
    <row r="142" spans="1:1">
      <c r="A142" s="26" t="s">
        <v>551</v>
      </c>
    </row>
    <row r="143" spans="1:1">
      <c r="A143" s="26" t="s">
        <v>552</v>
      </c>
    </row>
    <row r="144" spans="1:1">
      <c r="A144" s="26" t="s">
        <v>553</v>
      </c>
    </row>
    <row r="145" spans="1:1">
      <c r="A145" s="26" t="s">
        <v>554</v>
      </c>
    </row>
    <row r="146" spans="1:1">
      <c r="A146" s="26" t="s">
        <v>555</v>
      </c>
    </row>
    <row r="147" spans="1:1">
      <c r="A147" s="26" t="s">
        <v>556</v>
      </c>
    </row>
    <row r="148" spans="1:1">
      <c r="A148" s="26" t="s">
        <v>557</v>
      </c>
    </row>
    <row r="149" spans="1:1">
      <c r="A149" s="26" t="s">
        <v>558</v>
      </c>
    </row>
    <row r="150" spans="1:1">
      <c r="A150" s="26" t="s">
        <v>559</v>
      </c>
    </row>
    <row r="151" spans="1:1">
      <c r="A151" s="26" t="s">
        <v>560</v>
      </c>
    </row>
    <row r="152" spans="1:1">
      <c r="A152" s="26" t="s">
        <v>561</v>
      </c>
    </row>
    <row r="153" spans="1:1">
      <c r="A153" s="26" t="s">
        <v>562</v>
      </c>
    </row>
    <row r="154" spans="1:1">
      <c r="A154" s="26" t="s">
        <v>563</v>
      </c>
    </row>
    <row r="155" spans="1:1">
      <c r="A155" s="26" t="s">
        <v>564</v>
      </c>
    </row>
    <row r="156" spans="1:1">
      <c r="A156" s="26" t="s">
        <v>565</v>
      </c>
    </row>
    <row r="157" spans="1:1">
      <c r="A157" s="26" t="s">
        <v>566</v>
      </c>
    </row>
    <row r="158" spans="1:1">
      <c r="A158" s="26" t="s">
        <v>567</v>
      </c>
    </row>
    <row r="159" spans="1:1">
      <c r="A159" s="26" t="s">
        <v>568</v>
      </c>
    </row>
    <row r="160" spans="1:1">
      <c r="A160" s="26" t="s">
        <v>569</v>
      </c>
    </row>
    <row r="161" spans="1:1">
      <c r="A161" s="26" t="s">
        <v>570</v>
      </c>
    </row>
    <row r="162" spans="1:1">
      <c r="A162" s="26" t="s">
        <v>571</v>
      </c>
    </row>
    <row r="163" spans="1:1">
      <c r="A163" s="26" t="s">
        <v>572</v>
      </c>
    </row>
    <row r="164" spans="1:1">
      <c r="A164" s="26" t="s">
        <v>573</v>
      </c>
    </row>
    <row r="165" spans="1:1">
      <c r="A165" s="26" t="s">
        <v>574</v>
      </c>
    </row>
    <row r="166" spans="1:1">
      <c r="A166" s="26" t="s">
        <v>575</v>
      </c>
    </row>
    <row r="167" spans="1:1">
      <c r="A167" s="26" t="s">
        <v>576</v>
      </c>
    </row>
    <row r="168" spans="1:1">
      <c r="A168" s="26" t="s">
        <v>577</v>
      </c>
    </row>
    <row r="169" spans="1:1">
      <c r="A169" s="26" t="s">
        <v>578</v>
      </c>
    </row>
    <row r="170" spans="1:1">
      <c r="A170" s="26" t="s">
        <v>579</v>
      </c>
    </row>
    <row r="171" spans="1:1">
      <c r="A171" s="26" t="s">
        <v>580</v>
      </c>
    </row>
    <row r="172" spans="1:1">
      <c r="A172" s="26" t="s">
        <v>581</v>
      </c>
    </row>
    <row r="173" spans="1:1">
      <c r="A173" s="26" t="s">
        <v>582</v>
      </c>
    </row>
    <row r="174" spans="1:1">
      <c r="A174" s="26" t="s">
        <v>583</v>
      </c>
    </row>
    <row r="175" spans="1:1">
      <c r="A175" s="26" t="s">
        <v>584</v>
      </c>
    </row>
    <row r="176" spans="1:1">
      <c r="A176" s="26" t="s">
        <v>585</v>
      </c>
    </row>
    <row r="177" spans="1:1">
      <c r="A177" s="26" t="s">
        <v>586</v>
      </c>
    </row>
    <row r="178" spans="1:1">
      <c r="A178" s="26" t="s">
        <v>587</v>
      </c>
    </row>
    <row r="179" spans="1:1">
      <c r="A179" s="26" t="s">
        <v>588</v>
      </c>
    </row>
    <row r="180" spans="1:1">
      <c r="A180" s="26" t="s">
        <v>589</v>
      </c>
    </row>
    <row r="181" spans="1:1">
      <c r="A181" s="26" t="s">
        <v>590</v>
      </c>
    </row>
    <row r="182" spans="1:1">
      <c r="A182" s="26" t="s">
        <v>591</v>
      </c>
    </row>
    <row r="183" spans="1:1">
      <c r="A183" s="26" t="s">
        <v>592</v>
      </c>
    </row>
    <row r="184" spans="1:1">
      <c r="A184" s="26" t="s">
        <v>593</v>
      </c>
    </row>
    <row r="185" spans="1:1">
      <c r="A185" s="26" t="s">
        <v>594</v>
      </c>
    </row>
    <row r="186" spans="1:1">
      <c r="A186" s="26" t="s">
        <v>595</v>
      </c>
    </row>
    <row r="187" spans="1:1">
      <c r="A187" s="26" t="s">
        <v>596</v>
      </c>
    </row>
    <row r="188" spans="1:1">
      <c r="A188" s="26" t="s">
        <v>597</v>
      </c>
    </row>
    <row r="189" spans="1:1">
      <c r="A189" s="26" t="s">
        <v>598</v>
      </c>
    </row>
    <row r="190" spans="1:1">
      <c r="A190" s="26" t="s">
        <v>599</v>
      </c>
    </row>
    <row r="191" spans="1:1">
      <c r="A191" s="26" t="s">
        <v>600</v>
      </c>
    </row>
    <row r="192" spans="1:1">
      <c r="A192" s="26" t="s">
        <v>601</v>
      </c>
    </row>
    <row r="193" spans="1:1">
      <c r="A193" s="26" t="s">
        <v>602</v>
      </c>
    </row>
    <row r="194" spans="1:1">
      <c r="A194" s="26" t="s">
        <v>603</v>
      </c>
    </row>
    <row r="195" spans="1:1">
      <c r="A195" s="26" t="s">
        <v>604</v>
      </c>
    </row>
    <row r="196" spans="1:1">
      <c r="A196" s="26" t="s">
        <v>605</v>
      </c>
    </row>
    <row r="197" spans="1:1">
      <c r="A197" s="26" t="s">
        <v>606</v>
      </c>
    </row>
    <row r="198" spans="1:1">
      <c r="A198" s="26" t="s">
        <v>607</v>
      </c>
    </row>
    <row r="199" spans="1:1">
      <c r="A199" s="26" t="s">
        <v>608</v>
      </c>
    </row>
    <row r="200" spans="1:1">
      <c r="A200" s="26" t="s">
        <v>609</v>
      </c>
    </row>
    <row r="201" spans="1:1">
      <c r="A201" s="26" t="s">
        <v>610</v>
      </c>
    </row>
    <row r="202" spans="1:1">
      <c r="A202" s="26" t="s">
        <v>611</v>
      </c>
    </row>
    <row r="203" spans="1:1">
      <c r="A203" s="26" t="s">
        <v>612</v>
      </c>
    </row>
    <row r="204" spans="1:1">
      <c r="A204" s="26" t="s">
        <v>613</v>
      </c>
    </row>
    <row r="205" spans="1:1">
      <c r="A205" s="26" t="s">
        <v>614</v>
      </c>
    </row>
    <row r="206" spans="1:1">
      <c r="A206" s="26" t="s">
        <v>615</v>
      </c>
    </row>
    <row r="207" spans="1:1">
      <c r="A207" s="26" t="s">
        <v>616</v>
      </c>
    </row>
    <row r="208" spans="1:1">
      <c r="A208" s="26" t="s">
        <v>617</v>
      </c>
    </row>
    <row r="209" spans="1:1">
      <c r="A209" s="26" t="s">
        <v>618</v>
      </c>
    </row>
    <row r="210" spans="1:1">
      <c r="A210" s="26" t="s">
        <v>619</v>
      </c>
    </row>
    <row r="211" spans="1:1">
      <c r="A211" s="26" t="s">
        <v>620</v>
      </c>
    </row>
    <row r="212" spans="1:1">
      <c r="A212" s="26" t="s">
        <v>621</v>
      </c>
    </row>
    <row r="213" spans="1:1">
      <c r="A213" s="26" t="s">
        <v>622</v>
      </c>
    </row>
    <row r="214" spans="1:1">
      <c r="A214" s="26" t="s">
        <v>623</v>
      </c>
    </row>
    <row r="215" spans="1:1">
      <c r="A215" s="26" t="s">
        <v>624</v>
      </c>
    </row>
    <row r="216" spans="1:1">
      <c r="A216" s="26" t="s">
        <v>625</v>
      </c>
    </row>
    <row r="217" spans="1:1">
      <c r="A217" s="26" t="s">
        <v>626</v>
      </c>
    </row>
    <row r="218" spans="1:1">
      <c r="A218" s="26" t="s">
        <v>627</v>
      </c>
    </row>
    <row r="219" spans="1:1">
      <c r="A219" s="26" t="s">
        <v>628</v>
      </c>
    </row>
    <row r="220" spans="1:1">
      <c r="A220" s="26" t="s">
        <v>629</v>
      </c>
    </row>
    <row r="221" spans="1:1">
      <c r="A221" s="26" t="s">
        <v>630</v>
      </c>
    </row>
    <row r="222" spans="1:1">
      <c r="A222" s="26" t="s">
        <v>631</v>
      </c>
    </row>
    <row r="223" spans="1:1">
      <c r="A223" s="26" t="s">
        <v>632</v>
      </c>
    </row>
    <row r="224" spans="1:1">
      <c r="A224" s="26" t="s">
        <v>633</v>
      </c>
    </row>
    <row r="225" spans="1:1">
      <c r="A225" s="26" t="s">
        <v>634</v>
      </c>
    </row>
    <row r="226" spans="1:1">
      <c r="A226" s="26" t="s">
        <v>635</v>
      </c>
    </row>
    <row r="227" spans="1:1">
      <c r="A227" s="26" t="s">
        <v>636</v>
      </c>
    </row>
    <row r="228" spans="1:1">
      <c r="A228" s="26" t="s">
        <v>637</v>
      </c>
    </row>
    <row r="229" spans="1:1">
      <c r="A229" s="26" t="s">
        <v>638</v>
      </c>
    </row>
    <row r="230" spans="1:1">
      <c r="A230" s="26" t="s">
        <v>639</v>
      </c>
    </row>
    <row r="231" spans="1:1">
      <c r="A231" s="26" t="s">
        <v>640</v>
      </c>
    </row>
    <row r="232" spans="1:1">
      <c r="A232" s="26" t="s">
        <v>641</v>
      </c>
    </row>
    <row r="233" spans="1:1">
      <c r="A233" s="26" t="s">
        <v>642</v>
      </c>
    </row>
    <row r="234" spans="1:1">
      <c r="A234" s="26" t="s">
        <v>643</v>
      </c>
    </row>
    <row r="235" spans="1:1">
      <c r="A235" s="26" t="s">
        <v>644</v>
      </c>
    </row>
    <row r="236" spans="1:1">
      <c r="A236" s="26" t="s">
        <v>645</v>
      </c>
    </row>
    <row r="237" spans="1:1">
      <c r="A237" s="26" t="s">
        <v>646</v>
      </c>
    </row>
    <row r="238" spans="1:1">
      <c r="A238" s="26" t="s">
        <v>647</v>
      </c>
    </row>
    <row r="239" spans="1:1">
      <c r="A239" s="26" t="s">
        <v>648</v>
      </c>
    </row>
    <row r="240" spans="1:1">
      <c r="A240" s="26" t="s">
        <v>649</v>
      </c>
    </row>
    <row r="241" spans="1:1">
      <c r="A241" s="26" t="s">
        <v>650</v>
      </c>
    </row>
    <row r="242" spans="1:1">
      <c r="A242" s="26" t="s">
        <v>651</v>
      </c>
    </row>
    <row r="243" spans="1:1">
      <c r="A243" s="26" t="s">
        <v>652</v>
      </c>
    </row>
    <row r="244" spans="1:1">
      <c r="A244" s="26" t="s">
        <v>653</v>
      </c>
    </row>
    <row r="245" spans="1:1">
      <c r="A245" s="26" t="s">
        <v>654</v>
      </c>
    </row>
    <row r="246" spans="1:1">
      <c r="A246" s="26" t="s">
        <v>655</v>
      </c>
    </row>
    <row r="247" spans="1:1">
      <c r="A247" s="26" t="s">
        <v>656</v>
      </c>
    </row>
    <row r="248" spans="1:1">
      <c r="A248" s="26" t="s">
        <v>657</v>
      </c>
    </row>
    <row r="249" spans="1:1">
      <c r="A249" s="26" t="s">
        <v>658</v>
      </c>
    </row>
    <row r="250" spans="1:1">
      <c r="A250" s="26" t="s">
        <v>659</v>
      </c>
    </row>
    <row r="251" spans="1:1">
      <c r="A251" s="26" t="s">
        <v>660</v>
      </c>
    </row>
    <row r="252" spans="1:1">
      <c r="A252" s="26" t="s">
        <v>661</v>
      </c>
    </row>
    <row r="253" spans="1:1">
      <c r="A253" s="26" t="s">
        <v>662</v>
      </c>
    </row>
    <row r="254" spans="1:1">
      <c r="A254" s="26" t="s">
        <v>663</v>
      </c>
    </row>
    <row r="255" spans="1:1">
      <c r="A255" s="26" t="s">
        <v>664</v>
      </c>
    </row>
    <row r="256" spans="1:1">
      <c r="A256" s="26" t="s">
        <v>665</v>
      </c>
    </row>
    <row r="257" spans="1:1">
      <c r="A257" s="26" t="s">
        <v>666</v>
      </c>
    </row>
    <row r="258" spans="1:1">
      <c r="A258" s="26" t="s">
        <v>667</v>
      </c>
    </row>
    <row r="259" spans="1:1">
      <c r="A259" s="26" t="s">
        <v>668</v>
      </c>
    </row>
    <row r="260" spans="1:1">
      <c r="A260" s="26" t="s">
        <v>669</v>
      </c>
    </row>
    <row r="261" spans="1:1">
      <c r="A261" s="26" t="s">
        <v>670</v>
      </c>
    </row>
    <row r="262" spans="1:1">
      <c r="A262" s="26" t="s">
        <v>671</v>
      </c>
    </row>
    <row r="263" spans="1:1">
      <c r="A263" s="26" t="s">
        <v>672</v>
      </c>
    </row>
    <row r="264" spans="1:1">
      <c r="A264" s="26" t="s">
        <v>673</v>
      </c>
    </row>
    <row r="265" spans="1:1">
      <c r="A265" s="26" t="s">
        <v>674</v>
      </c>
    </row>
    <row r="266" spans="1:1">
      <c r="A266" s="26" t="s">
        <v>675</v>
      </c>
    </row>
    <row r="267" spans="1:1">
      <c r="A267" s="26" t="s">
        <v>676</v>
      </c>
    </row>
    <row r="268" spans="1:1">
      <c r="A268" s="26" t="s">
        <v>677</v>
      </c>
    </row>
    <row r="269" spans="1:1">
      <c r="A269" s="26" t="s">
        <v>678</v>
      </c>
    </row>
    <row r="270" spans="1:1">
      <c r="A270" s="26" t="s">
        <v>679</v>
      </c>
    </row>
    <row r="271" spans="1:1">
      <c r="A271" s="26" t="s">
        <v>680</v>
      </c>
    </row>
    <row r="272" spans="1:1">
      <c r="A272" s="26" t="s">
        <v>681</v>
      </c>
    </row>
    <row r="273" spans="1:1">
      <c r="A273" s="26" t="s">
        <v>682</v>
      </c>
    </row>
    <row r="274" spans="1:1">
      <c r="A274" s="26" t="s">
        <v>683</v>
      </c>
    </row>
    <row r="275" spans="1:1">
      <c r="A275" s="26" t="s">
        <v>684</v>
      </c>
    </row>
    <row r="276" spans="1:1">
      <c r="A276" s="26" t="s">
        <v>685</v>
      </c>
    </row>
    <row r="277" spans="1:1">
      <c r="A277" s="26" t="s">
        <v>686</v>
      </c>
    </row>
    <row r="278" spans="1:1">
      <c r="A278" s="26" t="s">
        <v>687</v>
      </c>
    </row>
    <row r="279" spans="1:1">
      <c r="A279" s="26" t="s">
        <v>688</v>
      </c>
    </row>
    <row r="280" spans="1:1">
      <c r="A280" s="26" t="s">
        <v>689</v>
      </c>
    </row>
    <row r="281" spans="1:1">
      <c r="A281" s="26" t="s">
        <v>690</v>
      </c>
    </row>
    <row r="282" spans="1:1">
      <c r="A282" s="26" t="s">
        <v>691</v>
      </c>
    </row>
    <row r="283" spans="1:1">
      <c r="A283" s="26" t="s">
        <v>692</v>
      </c>
    </row>
    <row r="284" spans="1:1">
      <c r="A284" s="26" t="s">
        <v>693</v>
      </c>
    </row>
    <row r="285" spans="1:1">
      <c r="A285" s="26" t="s">
        <v>694</v>
      </c>
    </row>
    <row r="286" spans="1:1">
      <c r="A286" s="26" t="s">
        <v>695</v>
      </c>
    </row>
    <row r="287" spans="1:1">
      <c r="A287" s="26" t="s">
        <v>696</v>
      </c>
    </row>
    <row r="288" spans="1:1">
      <c r="A288" s="26" t="s">
        <v>697</v>
      </c>
    </row>
    <row r="289" spans="1:1">
      <c r="A289" s="26" t="s">
        <v>698</v>
      </c>
    </row>
    <row r="290" spans="1:1">
      <c r="A290" s="26" t="s">
        <v>699</v>
      </c>
    </row>
    <row r="291" spans="1:1">
      <c r="A291" s="26" t="s">
        <v>700</v>
      </c>
    </row>
    <row r="292" spans="1:1">
      <c r="A292" s="26" t="s">
        <v>701</v>
      </c>
    </row>
    <row r="293" spans="1:1">
      <c r="A293" s="26" t="s">
        <v>702</v>
      </c>
    </row>
    <row r="294" spans="1:1">
      <c r="A294" s="26" t="s">
        <v>703</v>
      </c>
    </row>
    <row r="295" spans="1:1">
      <c r="A295" s="26" t="s">
        <v>704</v>
      </c>
    </row>
    <row r="296" spans="1:1">
      <c r="A296" s="26" t="s">
        <v>705</v>
      </c>
    </row>
    <row r="297" spans="1:1">
      <c r="A297" s="26" t="s">
        <v>706</v>
      </c>
    </row>
    <row r="298" spans="1:1">
      <c r="A298" s="26" t="s">
        <v>707</v>
      </c>
    </row>
    <row r="299" spans="1:1">
      <c r="A299" s="26" t="s">
        <v>708</v>
      </c>
    </row>
    <row r="300" spans="1:1">
      <c r="A300" s="26" t="s">
        <v>709</v>
      </c>
    </row>
    <row r="301" spans="1:1">
      <c r="A301" s="26" t="s">
        <v>710</v>
      </c>
    </row>
    <row r="302" spans="1:1">
      <c r="A302" s="26" t="s">
        <v>711</v>
      </c>
    </row>
    <row r="303" spans="1:1">
      <c r="A303" s="26" t="s">
        <v>712</v>
      </c>
    </row>
    <row r="304" spans="1:1">
      <c r="A304" s="26" t="s">
        <v>713</v>
      </c>
    </row>
    <row r="305" spans="1:1">
      <c r="A305" s="26" t="s">
        <v>714</v>
      </c>
    </row>
    <row r="306" spans="1:1">
      <c r="A306" s="26" t="s">
        <v>715</v>
      </c>
    </row>
    <row r="307" spans="1:1">
      <c r="A307" s="26" t="s">
        <v>716</v>
      </c>
    </row>
    <row r="308" spans="1:1">
      <c r="A308" s="26" t="s">
        <v>717</v>
      </c>
    </row>
    <row r="309" spans="1:1">
      <c r="A309" s="26" t="s">
        <v>718</v>
      </c>
    </row>
    <row r="310" spans="1:1">
      <c r="A310" s="26" t="s">
        <v>719</v>
      </c>
    </row>
    <row r="311" spans="1:1">
      <c r="A311" s="26" t="s">
        <v>720</v>
      </c>
    </row>
    <row r="312" spans="1:1">
      <c r="A312" s="26" t="s">
        <v>721</v>
      </c>
    </row>
    <row r="313" spans="1:1">
      <c r="A313" s="26" t="s">
        <v>722</v>
      </c>
    </row>
    <row r="314" spans="1:1">
      <c r="A314" s="26" t="s">
        <v>723</v>
      </c>
    </row>
    <row r="315" spans="1:1">
      <c r="A315" s="26" t="s">
        <v>724</v>
      </c>
    </row>
    <row r="316" spans="1:1">
      <c r="A316" s="26" t="s">
        <v>725</v>
      </c>
    </row>
    <row r="317" spans="1:1">
      <c r="A317" s="26" t="s">
        <v>726</v>
      </c>
    </row>
    <row r="318" spans="1:1">
      <c r="A318" s="26" t="s">
        <v>727</v>
      </c>
    </row>
    <row r="319" spans="1:1">
      <c r="A319" s="26" t="s">
        <v>728</v>
      </c>
    </row>
    <row r="320" spans="1:1">
      <c r="A320" s="26" t="s">
        <v>729</v>
      </c>
    </row>
    <row r="321" spans="1:1">
      <c r="A321" s="26" t="s">
        <v>730</v>
      </c>
    </row>
    <row r="322" spans="1:1">
      <c r="A322" s="26" t="s">
        <v>731</v>
      </c>
    </row>
    <row r="323" spans="1:1">
      <c r="A323" s="26" t="s">
        <v>732</v>
      </c>
    </row>
    <row r="324" spans="1:1">
      <c r="A324" s="26" t="s">
        <v>733</v>
      </c>
    </row>
    <row r="325" spans="1:1">
      <c r="A325" s="26" t="s">
        <v>734</v>
      </c>
    </row>
    <row r="326" spans="1:1">
      <c r="A326" s="26" t="s">
        <v>735</v>
      </c>
    </row>
    <row r="327" spans="1:1">
      <c r="A327" s="26" t="s">
        <v>736</v>
      </c>
    </row>
    <row r="328" spans="1:1">
      <c r="A328" s="26" t="s">
        <v>737</v>
      </c>
    </row>
    <row r="329" spans="1:1">
      <c r="A329" s="26" t="s">
        <v>738</v>
      </c>
    </row>
    <row r="330" spans="1:1">
      <c r="A330" s="26" t="s">
        <v>739</v>
      </c>
    </row>
    <row r="331" spans="1:1">
      <c r="A331" s="26" t="s">
        <v>740</v>
      </c>
    </row>
    <row r="332" spans="1:1">
      <c r="A332" s="26" t="s">
        <v>741</v>
      </c>
    </row>
    <row r="333" spans="1:1">
      <c r="A333" s="26" t="s">
        <v>742</v>
      </c>
    </row>
    <row r="334" spans="1:1">
      <c r="A334" s="26" t="s">
        <v>743</v>
      </c>
    </row>
    <row r="335" spans="1:1">
      <c r="A335" s="26" t="s">
        <v>744</v>
      </c>
    </row>
    <row r="336" spans="1:1">
      <c r="A336" s="26" t="s">
        <v>745</v>
      </c>
    </row>
    <row r="337" spans="1:1">
      <c r="A337" s="26" t="s">
        <v>746</v>
      </c>
    </row>
    <row r="338" spans="1:1">
      <c r="A338" s="26" t="s">
        <v>747</v>
      </c>
    </row>
    <row r="339" spans="1:1">
      <c r="A339" s="26" t="s">
        <v>748</v>
      </c>
    </row>
    <row r="340" spans="1:1">
      <c r="A340" s="26" t="s">
        <v>749</v>
      </c>
    </row>
    <row r="341" spans="1:1">
      <c r="A341" s="26" t="s">
        <v>750</v>
      </c>
    </row>
    <row r="342" spans="1:1">
      <c r="A342" s="26" t="s">
        <v>751</v>
      </c>
    </row>
    <row r="343" spans="1:1">
      <c r="A343" s="26" t="s">
        <v>752</v>
      </c>
    </row>
    <row r="344" spans="1:1">
      <c r="A344" s="26" t="s">
        <v>753</v>
      </c>
    </row>
    <row r="345" spans="1:1">
      <c r="A345" s="26" t="s">
        <v>754</v>
      </c>
    </row>
    <row r="346" spans="1:1">
      <c r="A346" s="26" t="s">
        <v>755</v>
      </c>
    </row>
    <row r="347" spans="1:1">
      <c r="A347" s="26" t="s">
        <v>756</v>
      </c>
    </row>
    <row r="348" spans="1:1">
      <c r="A348" s="26" t="s">
        <v>757</v>
      </c>
    </row>
    <row r="349" spans="1:1">
      <c r="A349" s="26" t="s">
        <v>758</v>
      </c>
    </row>
    <row r="350" spans="1:1">
      <c r="A350" s="26" t="s">
        <v>759</v>
      </c>
    </row>
    <row r="351" spans="1:1">
      <c r="A351" s="26" t="s">
        <v>760</v>
      </c>
    </row>
    <row r="352" spans="1:1">
      <c r="A352" s="26" t="s">
        <v>761</v>
      </c>
    </row>
    <row r="353" spans="1:1">
      <c r="A353" s="26" t="s">
        <v>762</v>
      </c>
    </row>
    <row r="354" spans="1:1">
      <c r="A354" s="26" t="s">
        <v>763</v>
      </c>
    </row>
    <row r="355" spans="1:1">
      <c r="A355" s="26" t="s">
        <v>764</v>
      </c>
    </row>
    <row r="356" spans="1:1">
      <c r="A356" s="26" t="s">
        <v>765</v>
      </c>
    </row>
    <row r="357" spans="1:1">
      <c r="A357" s="26" t="s">
        <v>766</v>
      </c>
    </row>
    <row r="358" spans="1:1">
      <c r="A358" s="26" t="s">
        <v>767</v>
      </c>
    </row>
    <row r="359" spans="1:1">
      <c r="A359" s="26" t="s">
        <v>768</v>
      </c>
    </row>
    <row r="360" spans="1:1">
      <c r="A360" s="26" t="s">
        <v>769</v>
      </c>
    </row>
    <row r="361" spans="1:1">
      <c r="A361" s="26" t="s">
        <v>770</v>
      </c>
    </row>
    <row r="362" spans="1:1">
      <c r="A362" s="26" t="s">
        <v>771</v>
      </c>
    </row>
    <row r="363" spans="1:1">
      <c r="A363" s="26" t="s">
        <v>772</v>
      </c>
    </row>
    <row r="364" spans="1:1">
      <c r="A364" s="26" t="s">
        <v>773</v>
      </c>
    </row>
    <row r="365" spans="1:1">
      <c r="A365" s="26" t="s">
        <v>774</v>
      </c>
    </row>
    <row r="366" spans="1:1">
      <c r="A366" s="26" t="s">
        <v>775</v>
      </c>
    </row>
    <row r="367" spans="1:1">
      <c r="A367" s="26" t="s">
        <v>776</v>
      </c>
    </row>
    <row r="368" spans="1:1">
      <c r="A368" s="26" t="s">
        <v>777</v>
      </c>
    </row>
    <row r="369" spans="1:1">
      <c r="A369" s="26" t="s">
        <v>778</v>
      </c>
    </row>
    <row r="370" spans="1:1">
      <c r="A370" s="26" t="s">
        <v>779</v>
      </c>
    </row>
    <row r="371" spans="1:1">
      <c r="A371" s="26" t="s">
        <v>780</v>
      </c>
    </row>
    <row r="372" spans="1:1">
      <c r="A372" s="26" t="s">
        <v>781</v>
      </c>
    </row>
    <row r="373" spans="1:1">
      <c r="A373" s="26" t="s">
        <v>782</v>
      </c>
    </row>
    <row r="374" spans="1:1">
      <c r="A374" s="26" t="s">
        <v>783</v>
      </c>
    </row>
    <row r="375" spans="1:1">
      <c r="A375" s="26" t="s">
        <v>784</v>
      </c>
    </row>
    <row r="376" spans="1:1">
      <c r="A376" s="26" t="s">
        <v>785</v>
      </c>
    </row>
    <row r="377" spans="1:1">
      <c r="A377" s="26" t="s">
        <v>786</v>
      </c>
    </row>
    <row r="378" spans="1:1">
      <c r="A378" s="26" t="s">
        <v>787</v>
      </c>
    </row>
    <row r="379" spans="1:1">
      <c r="A379" s="26" t="s">
        <v>788</v>
      </c>
    </row>
    <row r="380" spans="1:1">
      <c r="A380" s="26" t="s">
        <v>789</v>
      </c>
    </row>
    <row r="381" spans="1:1">
      <c r="A381" s="26" t="s">
        <v>790</v>
      </c>
    </row>
    <row r="382" spans="1:1">
      <c r="A382" s="26" t="s">
        <v>791</v>
      </c>
    </row>
    <row r="383" spans="1:1">
      <c r="A383" s="26" t="s">
        <v>792</v>
      </c>
    </row>
    <row r="384" spans="1:1">
      <c r="A384" s="26" t="s">
        <v>793</v>
      </c>
    </row>
    <row r="385" spans="1:1">
      <c r="A385" s="26" t="s">
        <v>794</v>
      </c>
    </row>
    <row r="386" spans="1:1">
      <c r="A386" s="26" t="s">
        <v>795</v>
      </c>
    </row>
    <row r="387" spans="1:1">
      <c r="A387" s="26" t="s">
        <v>796</v>
      </c>
    </row>
    <row r="388" spans="1:1">
      <c r="A388" s="26" t="s">
        <v>797</v>
      </c>
    </row>
    <row r="389" spans="1:1">
      <c r="A389" s="26" t="s">
        <v>798</v>
      </c>
    </row>
    <row r="390" spans="1:1">
      <c r="A390" s="26" t="s">
        <v>799</v>
      </c>
    </row>
    <row r="391" spans="1:1">
      <c r="A391" s="26" t="s">
        <v>800</v>
      </c>
    </row>
    <row r="392" spans="1:1">
      <c r="A392" s="26" t="s">
        <v>801</v>
      </c>
    </row>
    <row r="393" spans="1:1">
      <c r="A393" s="26" t="s">
        <v>802</v>
      </c>
    </row>
    <row r="394" spans="1:1">
      <c r="A394" s="26" t="s">
        <v>803</v>
      </c>
    </row>
    <row r="395" spans="1:1">
      <c r="A395" s="26" t="s">
        <v>804</v>
      </c>
    </row>
    <row r="396" spans="1:1">
      <c r="A396" s="26" t="s">
        <v>805</v>
      </c>
    </row>
    <row r="397" spans="1:1">
      <c r="A397" s="26" t="s">
        <v>806</v>
      </c>
    </row>
    <row r="398" spans="1:1">
      <c r="A398" s="26" t="s">
        <v>807</v>
      </c>
    </row>
    <row r="399" spans="1:1">
      <c r="A399" s="26" t="s">
        <v>808</v>
      </c>
    </row>
    <row r="400" spans="1:1">
      <c r="A400" s="26" t="s">
        <v>809</v>
      </c>
    </row>
    <row r="401" spans="1:1">
      <c r="A401" s="26" t="s">
        <v>810</v>
      </c>
    </row>
    <row r="402" spans="1:1">
      <c r="A402" s="26" t="s">
        <v>811</v>
      </c>
    </row>
    <row r="403" spans="1:1">
      <c r="A403" s="26" t="s">
        <v>812</v>
      </c>
    </row>
    <row r="404" spans="1:1">
      <c r="A404" s="26" t="s">
        <v>813</v>
      </c>
    </row>
    <row r="405" spans="1:1">
      <c r="A405" s="26" t="s">
        <v>814</v>
      </c>
    </row>
    <row r="406" spans="1:1">
      <c r="A406" s="26" t="s">
        <v>815</v>
      </c>
    </row>
    <row r="407" spans="1:1">
      <c r="A407" s="26" t="s">
        <v>816</v>
      </c>
    </row>
    <row r="408" spans="1:1">
      <c r="A408" s="26" t="s">
        <v>817</v>
      </c>
    </row>
    <row r="409" spans="1:1">
      <c r="A409" s="26" t="s">
        <v>818</v>
      </c>
    </row>
    <row r="410" spans="1:1">
      <c r="A410" s="26" t="s">
        <v>819</v>
      </c>
    </row>
    <row r="411" spans="1:1">
      <c r="A411" s="26" t="s">
        <v>820</v>
      </c>
    </row>
    <row r="412" spans="1:1">
      <c r="A412" s="26" t="s">
        <v>821</v>
      </c>
    </row>
    <row r="413" spans="1:1">
      <c r="A413" s="26" t="s">
        <v>822</v>
      </c>
    </row>
    <row r="414" spans="1:1">
      <c r="A414" s="26" t="s">
        <v>823</v>
      </c>
    </row>
    <row r="415" spans="1:1">
      <c r="A415" s="26" t="s">
        <v>824</v>
      </c>
    </row>
    <row r="416" spans="1:1">
      <c r="A416" s="26" t="s">
        <v>825</v>
      </c>
    </row>
    <row r="417" spans="1:1">
      <c r="A417" s="26" t="s">
        <v>826</v>
      </c>
    </row>
    <row r="418" spans="1:1">
      <c r="A418" s="26" t="s">
        <v>827</v>
      </c>
    </row>
    <row r="419" spans="1:1">
      <c r="A419" s="26" t="s">
        <v>828</v>
      </c>
    </row>
    <row r="420" spans="1:1">
      <c r="A420" s="26" t="s">
        <v>829</v>
      </c>
    </row>
    <row r="421" spans="1:1">
      <c r="A421" s="26" t="s">
        <v>830</v>
      </c>
    </row>
    <row r="422" spans="1:1">
      <c r="A422" s="26" t="s">
        <v>831</v>
      </c>
    </row>
    <row r="423" spans="1:1">
      <c r="A423" s="26" t="s">
        <v>832</v>
      </c>
    </row>
    <row r="424" spans="1:1">
      <c r="A424" s="26" t="s">
        <v>833</v>
      </c>
    </row>
    <row r="425" spans="1:1">
      <c r="A425" s="26" t="s">
        <v>834</v>
      </c>
    </row>
    <row r="426" spans="1:1">
      <c r="A426" s="26" t="s">
        <v>835</v>
      </c>
    </row>
    <row r="427" spans="1:1">
      <c r="A427" s="26" t="s">
        <v>836</v>
      </c>
    </row>
    <row r="428" spans="1:1">
      <c r="A428" s="26" t="s">
        <v>837</v>
      </c>
    </row>
    <row r="429" spans="1:1">
      <c r="A429" s="26" t="s">
        <v>838</v>
      </c>
    </row>
    <row r="430" spans="1:1">
      <c r="A430" s="26" t="s">
        <v>839</v>
      </c>
    </row>
    <row r="431" spans="1:1">
      <c r="A431" s="26" t="s">
        <v>840</v>
      </c>
    </row>
    <row r="432" spans="1:1">
      <c r="A432" s="26" t="s">
        <v>841</v>
      </c>
    </row>
    <row r="433" spans="1:1">
      <c r="A433" s="26" t="s">
        <v>842</v>
      </c>
    </row>
    <row r="434" spans="1:1">
      <c r="A434" s="26" t="s">
        <v>843</v>
      </c>
    </row>
    <row r="435" spans="1:1">
      <c r="A435" s="26" t="s">
        <v>844</v>
      </c>
    </row>
    <row r="436" spans="1:1">
      <c r="A436" s="26" t="s">
        <v>845</v>
      </c>
    </row>
    <row r="437" spans="1:1">
      <c r="A437" s="26" t="s">
        <v>846</v>
      </c>
    </row>
    <row r="438" spans="1:1">
      <c r="A438" s="26" t="s">
        <v>847</v>
      </c>
    </row>
    <row r="439" spans="1:1">
      <c r="A439" s="26" t="s">
        <v>848</v>
      </c>
    </row>
    <row r="440" spans="1:1">
      <c r="A440" s="26" t="s">
        <v>849</v>
      </c>
    </row>
    <row r="441" spans="1:1">
      <c r="A441" s="26" t="s">
        <v>850</v>
      </c>
    </row>
    <row r="442" spans="1:1">
      <c r="A442" s="26" t="s">
        <v>851</v>
      </c>
    </row>
    <row r="443" spans="1:1">
      <c r="A443" s="26" t="s">
        <v>852</v>
      </c>
    </row>
    <row r="444" spans="1:1">
      <c r="A444" s="26" t="s">
        <v>853</v>
      </c>
    </row>
    <row r="445" spans="1:1">
      <c r="A445" s="26" t="s">
        <v>854</v>
      </c>
    </row>
    <row r="446" spans="1:1">
      <c r="A446" s="26" t="s">
        <v>855</v>
      </c>
    </row>
    <row r="447" spans="1:1">
      <c r="A447" s="26" t="s">
        <v>856</v>
      </c>
    </row>
    <row r="448" spans="1:1">
      <c r="A448" s="26" t="s">
        <v>857</v>
      </c>
    </row>
    <row r="449" spans="1:1">
      <c r="A449" s="26" t="s">
        <v>858</v>
      </c>
    </row>
    <row r="450" spans="1:1">
      <c r="A450" s="26" t="s">
        <v>859</v>
      </c>
    </row>
    <row r="451" spans="1:1">
      <c r="A451" s="26" t="s">
        <v>860</v>
      </c>
    </row>
    <row r="452" spans="1:1">
      <c r="A452" s="26" t="s">
        <v>861</v>
      </c>
    </row>
    <row r="453" spans="1:1">
      <c r="A453" s="26" t="s">
        <v>862</v>
      </c>
    </row>
    <row r="454" spans="1:1">
      <c r="A454" s="26" t="s">
        <v>863</v>
      </c>
    </row>
    <row r="455" spans="1:1">
      <c r="A455" s="26" t="s">
        <v>864</v>
      </c>
    </row>
    <row r="456" spans="1:1">
      <c r="A456" s="26" t="s">
        <v>865</v>
      </c>
    </row>
    <row r="457" spans="1:1">
      <c r="A457" s="26" t="s">
        <v>866</v>
      </c>
    </row>
    <row r="458" spans="1:1">
      <c r="A458" s="26" t="s">
        <v>867</v>
      </c>
    </row>
    <row r="459" spans="1:1">
      <c r="A459" s="26" t="s">
        <v>868</v>
      </c>
    </row>
    <row r="460" spans="1:1">
      <c r="A460" s="26" t="s">
        <v>869</v>
      </c>
    </row>
    <row r="461" spans="1:1">
      <c r="A461" s="26" t="s">
        <v>870</v>
      </c>
    </row>
    <row r="462" spans="1:1">
      <c r="A462" s="26" t="s">
        <v>871</v>
      </c>
    </row>
    <row r="463" spans="1:1">
      <c r="A463" s="26" t="s">
        <v>872</v>
      </c>
    </row>
    <row r="464" spans="1:1">
      <c r="A464" s="26" t="s">
        <v>873</v>
      </c>
    </row>
    <row r="465" spans="1:1">
      <c r="A465" s="26" t="s">
        <v>874</v>
      </c>
    </row>
    <row r="466" spans="1:1">
      <c r="A466" s="26" t="s">
        <v>875</v>
      </c>
    </row>
    <row r="467" spans="1:1">
      <c r="A467" s="26" t="s">
        <v>876</v>
      </c>
    </row>
    <row r="468" spans="1:1">
      <c r="A468" s="26" t="s">
        <v>877</v>
      </c>
    </row>
    <row r="469" spans="1:1">
      <c r="A469" s="26" t="s">
        <v>878</v>
      </c>
    </row>
    <row r="470" spans="1:1">
      <c r="A470" s="26" t="s">
        <v>879</v>
      </c>
    </row>
    <row r="471" spans="1:1">
      <c r="A471" s="26" t="s">
        <v>880</v>
      </c>
    </row>
    <row r="472" spans="1:1">
      <c r="A472" s="26" t="s">
        <v>881</v>
      </c>
    </row>
    <row r="473" spans="1:1">
      <c r="A473" s="26" t="s">
        <v>882</v>
      </c>
    </row>
    <row r="474" spans="1:1">
      <c r="A474" s="26" t="s">
        <v>883</v>
      </c>
    </row>
    <row r="475" spans="1:1">
      <c r="A475" s="26" t="s">
        <v>884</v>
      </c>
    </row>
    <row r="476" spans="1:1">
      <c r="A476" s="26" t="s">
        <v>885</v>
      </c>
    </row>
    <row r="477" spans="1:1">
      <c r="A477" s="26" t="s">
        <v>886</v>
      </c>
    </row>
    <row r="478" spans="1:1">
      <c r="A478" s="26" t="s">
        <v>887</v>
      </c>
    </row>
    <row r="479" spans="1:1">
      <c r="A479" s="26" t="s">
        <v>888</v>
      </c>
    </row>
    <row r="480" spans="1:1">
      <c r="A480" s="26" t="s">
        <v>889</v>
      </c>
    </row>
    <row r="481" spans="1:1">
      <c r="A481" s="26" t="s">
        <v>890</v>
      </c>
    </row>
    <row r="482" spans="1:1">
      <c r="A482" s="26" t="s">
        <v>891</v>
      </c>
    </row>
    <row r="483" spans="1:1">
      <c r="A483" s="26" t="s">
        <v>892</v>
      </c>
    </row>
    <row r="484" spans="1:1">
      <c r="A484" s="26" t="s">
        <v>893</v>
      </c>
    </row>
    <row r="485" spans="1:1">
      <c r="A485" s="26" t="s">
        <v>894</v>
      </c>
    </row>
    <row r="486" spans="1:1">
      <c r="A486" s="26" t="s">
        <v>895</v>
      </c>
    </row>
    <row r="487" spans="1:1">
      <c r="A487" s="26" t="s">
        <v>896</v>
      </c>
    </row>
    <row r="488" spans="1:1">
      <c r="A488" s="26" t="s">
        <v>897</v>
      </c>
    </row>
    <row r="489" spans="1:1">
      <c r="A489" s="26" t="s">
        <v>898</v>
      </c>
    </row>
    <row r="490" spans="1:1">
      <c r="A490" s="26" t="s">
        <v>899</v>
      </c>
    </row>
    <row r="491" spans="1:1">
      <c r="A491" s="26" t="s">
        <v>900</v>
      </c>
    </row>
    <row r="492" spans="1:1">
      <c r="A492" s="26" t="s">
        <v>901</v>
      </c>
    </row>
    <row r="493" spans="1:1">
      <c r="A493" s="26" t="s">
        <v>902</v>
      </c>
    </row>
    <row r="494" spans="1:1">
      <c r="A494" s="26" t="s">
        <v>903</v>
      </c>
    </row>
    <row r="495" spans="1:1">
      <c r="A495" s="26" t="s">
        <v>904</v>
      </c>
    </row>
    <row r="496" spans="1:1">
      <c r="A496" s="26" t="s">
        <v>905</v>
      </c>
    </row>
    <row r="497" spans="1:1">
      <c r="A497" s="26" t="s">
        <v>906</v>
      </c>
    </row>
    <row r="498" spans="1:1">
      <c r="A498" s="26" t="s">
        <v>907</v>
      </c>
    </row>
    <row r="499" spans="1:1">
      <c r="A499" s="26" t="s">
        <v>908</v>
      </c>
    </row>
    <row r="500" spans="1:1">
      <c r="A500" s="26" t="s">
        <v>909</v>
      </c>
    </row>
    <row r="501" spans="1:1">
      <c r="A501" s="26" t="s">
        <v>910</v>
      </c>
    </row>
    <row r="502" spans="1:1">
      <c r="A502" s="26" t="s">
        <v>911</v>
      </c>
    </row>
    <row r="503" spans="1:1">
      <c r="A503" s="26" t="s">
        <v>912</v>
      </c>
    </row>
    <row r="504" spans="1:1">
      <c r="A504" s="26" t="s">
        <v>913</v>
      </c>
    </row>
    <row r="505" spans="1:1">
      <c r="A505" s="26" t="s">
        <v>914</v>
      </c>
    </row>
    <row r="506" spans="1:1">
      <c r="A506" s="26" t="s">
        <v>915</v>
      </c>
    </row>
    <row r="507" spans="1:1">
      <c r="A507" s="26" t="s">
        <v>916</v>
      </c>
    </row>
    <row r="508" spans="1:1">
      <c r="A508" s="26" t="s">
        <v>917</v>
      </c>
    </row>
    <row r="509" spans="1:1">
      <c r="A509" s="26" t="s">
        <v>918</v>
      </c>
    </row>
    <row r="510" spans="1:1">
      <c r="A510" s="26" t="s">
        <v>919</v>
      </c>
    </row>
    <row r="511" spans="1:1">
      <c r="A511" s="26" t="s">
        <v>920</v>
      </c>
    </row>
    <row r="512" spans="1:1">
      <c r="A512" s="26" t="s">
        <v>921</v>
      </c>
    </row>
    <row r="513" spans="1:1">
      <c r="A513" s="26" t="s">
        <v>922</v>
      </c>
    </row>
    <row r="514" spans="1:1">
      <c r="A514" s="26" t="s">
        <v>923</v>
      </c>
    </row>
    <row r="515" spans="1:1">
      <c r="A515" s="26" t="s">
        <v>924</v>
      </c>
    </row>
    <row r="516" spans="1:1">
      <c r="A516" s="26" t="s">
        <v>925</v>
      </c>
    </row>
    <row r="517" spans="1:1">
      <c r="A517" s="26" t="s">
        <v>926</v>
      </c>
    </row>
    <row r="518" spans="1:1">
      <c r="A518" s="26" t="s">
        <v>927</v>
      </c>
    </row>
    <row r="519" spans="1:1">
      <c r="A519" s="26" t="s">
        <v>928</v>
      </c>
    </row>
    <row r="520" spans="1:1">
      <c r="A520" s="26" t="s">
        <v>929</v>
      </c>
    </row>
    <row r="521" spans="1:1">
      <c r="A521" s="26" t="s">
        <v>930</v>
      </c>
    </row>
    <row r="522" spans="1:1">
      <c r="A522" s="26" t="s">
        <v>931</v>
      </c>
    </row>
    <row r="523" spans="1:1">
      <c r="A523" s="26" t="s">
        <v>932</v>
      </c>
    </row>
    <row r="524" spans="1:1">
      <c r="A524" s="26" t="s">
        <v>933</v>
      </c>
    </row>
    <row r="525" spans="1:1">
      <c r="A525" s="26" t="s">
        <v>934</v>
      </c>
    </row>
    <row r="526" spans="1:1">
      <c r="A526" s="26" t="s">
        <v>935</v>
      </c>
    </row>
    <row r="527" spans="1:1">
      <c r="A527" s="26" t="s">
        <v>936</v>
      </c>
    </row>
    <row r="528" spans="1:1">
      <c r="A528" s="26" t="s">
        <v>937</v>
      </c>
    </row>
    <row r="529" spans="1:1">
      <c r="A529" s="26" t="s">
        <v>938</v>
      </c>
    </row>
    <row r="530" spans="1:1">
      <c r="A530" s="26" t="s">
        <v>939</v>
      </c>
    </row>
    <row r="531" spans="1:1">
      <c r="A531" s="26" t="s">
        <v>940</v>
      </c>
    </row>
    <row r="532" spans="1:1">
      <c r="A532" s="26" t="s">
        <v>941</v>
      </c>
    </row>
    <row r="533" spans="1:1">
      <c r="A533" s="26" t="s">
        <v>942</v>
      </c>
    </row>
    <row r="534" spans="1:1">
      <c r="A534" s="26" t="s">
        <v>943</v>
      </c>
    </row>
    <row r="535" spans="1:1">
      <c r="A535" s="26" t="s">
        <v>944</v>
      </c>
    </row>
    <row r="536" spans="1:1">
      <c r="A536" s="26" t="s">
        <v>945</v>
      </c>
    </row>
    <row r="537" spans="1:1">
      <c r="A537" s="26" t="s">
        <v>946</v>
      </c>
    </row>
    <row r="538" spans="1:1">
      <c r="A538" s="26" t="s">
        <v>947</v>
      </c>
    </row>
    <row r="539" spans="1:1">
      <c r="A539" s="26" t="s">
        <v>948</v>
      </c>
    </row>
    <row r="540" spans="1:1">
      <c r="A540" s="26" t="s">
        <v>949</v>
      </c>
    </row>
    <row r="541" spans="1:1">
      <c r="A541" s="26" t="s">
        <v>950</v>
      </c>
    </row>
    <row r="542" spans="1:1">
      <c r="A542" s="26" t="s">
        <v>951</v>
      </c>
    </row>
    <row r="543" spans="1:1">
      <c r="A543" s="26" t="s">
        <v>952</v>
      </c>
    </row>
    <row r="544" spans="1:1">
      <c r="A544" s="26" t="s">
        <v>953</v>
      </c>
    </row>
    <row r="545" spans="1:1">
      <c r="A545" s="26" t="s">
        <v>954</v>
      </c>
    </row>
    <row r="546" spans="1:1">
      <c r="A546" s="26" t="s">
        <v>955</v>
      </c>
    </row>
    <row r="547" spans="1:1">
      <c r="A547" s="26" t="s">
        <v>956</v>
      </c>
    </row>
    <row r="548" spans="1:1">
      <c r="A548" s="26" t="s">
        <v>957</v>
      </c>
    </row>
    <row r="549" spans="1:1">
      <c r="A549" s="26" t="s">
        <v>958</v>
      </c>
    </row>
    <row r="550" spans="1:1">
      <c r="A550" s="26" t="s">
        <v>959</v>
      </c>
    </row>
    <row r="551" spans="1:1">
      <c r="A551" s="26" t="s">
        <v>960</v>
      </c>
    </row>
    <row r="552" spans="1:1">
      <c r="A552" s="26" t="s">
        <v>961</v>
      </c>
    </row>
    <row r="553" spans="1:1">
      <c r="A553" s="26" t="s">
        <v>962</v>
      </c>
    </row>
    <row r="554" spans="1:1">
      <c r="A554" s="26" t="s">
        <v>963</v>
      </c>
    </row>
    <row r="555" spans="1:1">
      <c r="A555" s="26" t="s">
        <v>964</v>
      </c>
    </row>
    <row r="556" spans="1:1">
      <c r="A556" s="26" t="s">
        <v>965</v>
      </c>
    </row>
    <row r="557" spans="1:1">
      <c r="A557" s="26" t="s">
        <v>966</v>
      </c>
    </row>
    <row r="558" spans="1:1">
      <c r="A558" s="26" t="s">
        <v>967</v>
      </c>
    </row>
    <row r="559" spans="1:1">
      <c r="A559" s="26" t="s">
        <v>968</v>
      </c>
    </row>
    <row r="560" spans="1:1">
      <c r="A560" s="26" t="s">
        <v>969</v>
      </c>
    </row>
    <row r="561" spans="1:1">
      <c r="A561" s="26" t="s">
        <v>970</v>
      </c>
    </row>
    <row r="562" spans="1:1">
      <c r="A562" s="26" t="s">
        <v>971</v>
      </c>
    </row>
    <row r="563" spans="1:1">
      <c r="A563" s="26" t="s">
        <v>972</v>
      </c>
    </row>
    <row r="564" spans="1:1">
      <c r="A564" s="26" t="s">
        <v>973</v>
      </c>
    </row>
    <row r="565" spans="1:1">
      <c r="A565" s="26" t="s">
        <v>974</v>
      </c>
    </row>
    <row r="566" spans="1:1">
      <c r="A566" s="26" t="s">
        <v>975</v>
      </c>
    </row>
    <row r="567" spans="1:1">
      <c r="A567" s="26" t="s">
        <v>976</v>
      </c>
    </row>
    <row r="568" spans="1:1">
      <c r="A568" s="26" t="s">
        <v>977</v>
      </c>
    </row>
    <row r="569" spans="1:1">
      <c r="A569" s="26" t="s">
        <v>978</v>
      </c>
    </row>
    <row r="570" spans="1:1">
      <c r="A570" s="26" t="s">
        <v>979</v>
      </c>
    </row>
    <row r="571" spans="1:1">
      <c r="A571" s="26" t="s">
        <v>980</v>
      </c>
    </row>
    <row r="572" spans="1:1">
      <c r="A572" s="26" t="s">
        <v>981</v>
      </c>
    </row>
    <row r="573" spans="1:1">
      <c r="A573" s="26" t="s">
        <v>982</v>
      </c>
    </row>
    <row r="574" spans="1:1">
      <c r="A574" s="26" t="s">
        <v>983</v>
      </c>
    </row>
    <row r="575" spans="1:1">
      <c r="A575" s="26" t="s">
        <v>984</v>
      </c>
    </row>
    <row r="576" spans="1:1">
      <c r="A576" s="26" t="s">
        <v>985</v>
      </c>
    </row>
    <row r="577" spans="1:1">
      <c r="A577" s="26" t="s">
        <v>986</v>
      </c>
    </row>
    <row r="578" spans="1:1">
      <c r="A578" s="26" t="s">
        <v>987</v>
      </c>
    </row>
    <row r="579" spans="1:1">
      <c r="A579" s="26" t="s">
        <v>988</v>
      </c>
    </row>
    <row r="580" spans="1:1">
      <c r="A580" s="26" t="s">
        <v>989</v>
      </c>
    </row>
    <row r="581" spans="1:1">
      <c r="A581" s="26" t="s">
        <v>990</v>
      </c>
    </row>
    <row r="582" spans="1:1">
      <c r="A582" s="26" t="s">
        <v>991</v>
      </c>
    </row>
    <row r="583" spans="1:1">
      <c r="A583" s="26" t="s">
        <v>992</v>
      </c>
    </row>
    <row r="584" spans="1:1">
      <c r="A584" s="26" t="s">
        <v>993</v>
      </c>
    </row>
    <row r="585" spans="1:1">
      <c r="A585" s="26" t="s">
        <v>994</v>
      </c>
    </row>
    <row r="586" spans="1:1">
      <c r="A586" s="26" t="s">
        <v>995</v>
      </c>
    </row>
    <row r="587" spans="1:1">
      <c r="A587" s="26" t="s">
        <v>996</v>
      </c>
    </row>
    <row r="588" spans="1:1">
      <c r="A588" s="26" t="s">
        <v>997</v>
      </c>
    </row>
    <row r="589" spans="1:1">
      <c r="A589" s="26" t="s">
        <v>998</v>
      </c>
    </row>
    <row r="590" spans="1:1">
      <c r="A590" s="26" t="s">
        <v>999</v>
      </c>
    </row>
    <row r="591" spans="1:1">
      <c r="A591" s="26" t="s">
        <v>1000</v>
      </c>
    </row>
    <row r="592" spans="1:1">
      <c r="A592" s="26" t="s">
        <v>1001</v>
      </c>
    </row>
    <row r="593" spans="1:1">
      <c r="A593" s="26" t="s">
        <v>1002</v>
      </c>
    </row>
    <row r="594" spans="1:1">
      <c r="A594" s="26" t="s">
        <v>1003</v>
      </c>
    </row>
    <row r="595" spans="1:1">
      <c r="A595" s="26" t="s">
        <v>1004</v>
      </c>
    </row>
    <row r="596" spans="1:1">
      <c r="A596" s="26" t="s">
        <v>1005</v>
      </c>
    </row>
    <row r="597" spans="1:1">
      <c r="A597" s="26" t="s">
        <v>1006</v>
      </c>
    </row>
    <row r="598" spans="1:1">
      <c r="A598" s="26" t="s">
        <v>1007</v>
      </c>
    </row>
    <row r="599" spans="1:1">
      <c r="A599" s="26" t="s">
        <v>1008</v>
      </c>
    </row>
    <row r="600" spans="1:1">
      <c r="A600" s="26" t="s">
        <v>1009</v>
      </c>
    </row>
    <row r="601" spans="1:1">
      <c r="A601" s="26" t="s">
        <v>1010</v>
      </c>
    </row>
    <row r="602" spans="1:1">
      <c r="A602" s="26" t="s">
        <v>1011</v>
      </c>
    </row>
    <row r="603" spans="1:1">
      <c r="A603" s="26" t="s">
        <v>1012</v>
      </c>
    </row>
    <row r="604" spans="1:1">
      <c r="A604" s="26" t="s">
        <v>1013</v>
      </c>
    </row>
    <row r="605" spans="1:1">
      <c r="A605" s="26" t="s">
        <v>1014</v>
      </c>
    </row>
    <row r="606" spans="1:1">
      <c r="A606" s="26" t="s">
        <v>1015</v>
      </c>
    </row>
    <row r="607" spans="1:1">
      <c r="A607" s="26" t="s">
        <v>1016</v>
      </c>
    </row>
    <row r="608" spans="1:1">
      <c r="A608" s="26" t="s">
        <v>1017</v>
      </c>
    </row>
    <row r="609" spans="1:1">
      <c r="A609" s="26" t="s">
        <v>1018</v>
      </c>
    </row>
    <row r="610" spans="1:1">
      <c r="A610" s="26" t="s">
        <v>1019</v>
      </c>
    </row>
    <row r="611" spans="1:1">
      <c r="A611" s="26" t="s">
        <v>1020</v>
      </c>
    </row>
    <row r="612" spans="1:1">
      <c r="A612" s="26" t="s">
        <v>1021</v>
      </c>
    </row>
    <row r="613" spans="1:1">
      <c r="A613" s="26" t="s">
        <v>1022</v>
      </c>
    </row>
    <row r="614" spans="1:1">
      <c r="A614" s="26" t="s">
        <v>1023</v>
      </c>
    </row>
    <row r="615" spans="1:1">
      <c r="A615" s="26" t="s">
        <v>1024</v>
      </c>
    </row>
    <row r="616" spans="1:1">
      <c r="A616" s="26" t="s">
        <v>1025</v>
      </c>
    </row>
    <row r="617" spans="1:1">
      <c r="A617" s="26" t="s">
        <v>1026</v>
      </c>
    </row>
    <row r="618" spans="1:1">
      <c r="A618" s="26" t="s">
        <v>1027</v>
      </c>
    </row>
    <row r="619" spans="1:1">
      <c r="A619" s="26" t="s">
        <v>1028</v>
      </c>
    </row>
    <row r="620" spans="1:1">
      <c r="A620" s="26" t="s">
        <v>1029</v>
      </c>
    </row>
    <row r="621" spans="1:1">
      <c r="A621" s="26" t="s">
        <v>1030</v>
      </c>
    </row>
    <row r="622" spans="1:1">
      <c r="A622" s="26" t="s">
        <v>1031</v>
      </c>
    </row>
    <row r="623" spans="1:1">
      <c r="A623" s="26" t="s">
        <v>1032</v>
      </c>
    </row>
    <row r="624" spans="1:1">
      <c r="A624" s="26" t="s">
        <v>1033</v>
      </c>
    </row>
    <row r="625" spans="1:1">
      <c r="A625" s="26" t="s">
        <v>1034</v>
      </c>
    </row>
    <row r="626" spans="1:1">
      <c r="A626" s="26" t="s">
        <v>1035</v>
      </c>
    </row>
    <row r="627" spans="1:1">
      <c r="A627" s="26" t="s">
        <v>1036</v>
      </c>
    </row>
    <row r="628" spans="1:1">
      <c r="A628" s="26" t="s">
        <v>1037</v>
      </c>
    </row>
    <row r="629" spans="1:1">
      <c r="A629" s="26" t="s">
        <v>1038</v>
      </c>
    </row>
    <row r="630" spans="1:1">
      <c r="A630" s="26" t="s">
        <v>1039</v>
      </c>
    </row>
    <row r="631" spans="1:1">
      <c r="A631" s="26" t="s">
        <v>1040</v>
      </c>
    </row>
    <row r="632" spans="1:1">
      <c r="A632" s="26" t="s">
        <v>1041</v>
      </c>
    </row>
    <row r="633" spans="1:1">
      <c r="A633" s="26" t="s">
        <v>1042</v>
      </c>
    </row>
    <row r="634" spans="1:1">
      <c r="A634" s="26" t="s">
        <v>1043</v>
      </c>
    </row>
    <row r="635" spans="1:1">
      <c r="A635" s="26" t="s">
        <v>1044</v>
      </c>
    </row>
    <row r="636" spans="1:1">
      <c r="A636" s="26" t="s">
        <v>1045</v>
      </c>
    </row>
    <row r="637" spans="1:1">
      <c r="A637" s="26" t="s">
        <v>1046</v>
      </c>
    </row>
    <row r="638" spans="1:1">
      <c r="A638" s="26" t="s">
        <v>1047</v>
      </c>
    </row>
    <row r="639" spans="1:1">
      <c r="A639" s="26" t="s">
        <v>1048</v>
      </c>
    </row>
    <row r="640" spans="1:1">
      <c r="A640" s="26" t="s">
        <v>1049</v>
      </c>
    </row>
    <row r="641" spans="1:1">
      <c r="A641" s="26" t="s">
        <v>1050</v>
      </c>
    </row>
    <row r="642" spans="1:1">
      <c r="A642" s="26" t="s">
        <v>1051</v>
      </c>
    </row>
    <row r="643" spans="1:1">
      <c r="A643" s="26" t="s">
        <v>1052</v>
      </c>
    </row>
    <row r="644" spans="1:1">
      <c r="A644" s="26" t="s">
        <v>1053</v>
      </c>
    </row>
    <row r="645" spans="1:1">
      <c r="A645" s="26" t="s">
        <v>1054</v>
      </c>
    </row>
    <row r="646" spans="1:1">
      <c r="A646" s="26" t="s">
        <v>1055</v>
      </c>
    </row>
    <row r="647" spans="1:1">
      <c r="A647" s="26" t="s">
        <v>1056</v>
      </c>
    </row>
    <row r="648" spans="1:1">
      <c r="A648" s="26" t="s">
        <v>1057</v>
      </c>
    </row>
    <row r="649" spans="1:1">
      <c r="A649" s="26" t="s">
        <v>1058</v>
      </c>
    </row>
    <row r="650" spans="1:1">
      <c r="A650" s="26" t="s">
        <v>1059</v>
      </c>
    </row>
    <row r="651" spans="1:1">
      <c r="A651" s="26" t="s">
        <v>1060</v>
      </c>
    </row>
    <row r="652" spans="1:1">
      <c r="A652" s="26" t="s">
        <v>1061</v>
      </c>
    </row>
    <row r="653" spans="1:1">
      <c r="A653" s="26" t="s">
        <v>1062</v>
      </c>
    </row>
    <row r="654" spans="1:1">
      <c r="A654" s="26" t="s">
        <v>1063</v>
      </c>
    </row>
    <row r="655" spans="1:1">
      <c r="A655" s="26" t="s">
        <v>1064</v>
      </c>
    </row>
    <row r="656" spans="1:1">
      <c r="A656" s="26" t="s">
        <v>1065</v>
      </c>
    </row>
    <row r="657" spans="1:1">
      <c r="A657" s="26" t="s">
        <v>1066</v>
      </c>
    </row>
    <row r="658" spans="1:1">
      <c r="A658" s="26" t="s">
        <v>1067</v>
      </c>
    </row>
    <row r="659" spans="1:1">
      <c r="A659" s="26" t="s">
        <v>1068</v>
      </c>
    </row>
    <row r="660" spans="1:1">
      <c r="A660" s="26" t="s">
        <v>1069</v>
      </c>
    </row>
    <row r="661" spans="1:1">
      <c r="A661" s="26" t="s">
        <v>1070</v>
      </c>
    </row>
    <row r="662" spans="1:1">
      <c r="A662" s="26" t="s">
        <v>1071</v>
      </c>
    </row>
    <row r="663" spans="1:1">
      <c r="A663" s="26" t="s">
        <v>1072</v>
      </c>
    </row>
    <row r="664" spans="1:1">
      <c r="A664" s="26" t="s">
        <v>1073</v>
      </c>
    </row>
    <row r="665" spans="1:1">
      <c r="A665" s="26" t="s">
        <v>1074</v>
      </c>
    </row>
    <row r="666" spans="1:1">
      <c r="A666" s="26" t="s">
        <v>1075</v>
      </c>
    </row>
    <row r="667" spans="1:1">
      <c r="A667" s="26" t="s">
        <v>1076</v>
      </c>
    </row>
    <row r="668" spans="1:1">
      <c r="A668" s="26" t="s">
        <v>1077</v>
      </c>
    </row>
    <row r="669" spans="1:1">
      <c r="A669" s="26" t="s">
        <v>1078</v>
      </c>
    </row>
    <row r="670" spans="1:1">
      <c r="A670" s="26" t="s">
        <v>1079</v>
      </c>
    </row>
    <row r="671" spans="1:1">
      <c r="A671" s="26" t="s">
        <v>1080</v>
      </c>
    </row>
    <row r="672" spans="1:1">
      <c r="A672" s="26" t="s">
        <v>1081</v>
      </c>
    </row>
    <row r="673" spans="1:1">
      <c r="A673" s="26" t="s">
        <v>1082</v>
      </c>
    </row>
    <row r="674" spans="1:1">
      <c r="A674" s="26" t="s">
        <v>1083</v>
      </c>
    </row>
    <row r="675" spans="1:1">
      <c r="A675" s="26" t="s">
        <v>1084</v>
      </c>
    </row>
    <row r="676" spans="1:1">
      <c r="A676" s="26" t="s">
        <v>1085</v>
      </c>
    </row>
    <row r="677" spans="1:1">
      <c r="A677" s="26" t="s">
        <v>1086</v>
      </c>
    </row>
    <row r="678" spans="1:1">
      <c r="A678" s="26" t="s">
        <v>1087</v>
      </c>
    </row>
    <row r="679" spans="1:1">
      <c r="A679" s="26" t="s">
        <v>1088</v>
      </c>
    </row>
    <row r="680" spans="1:1">
      <c r="A680" s="26" t="s">
        <v>1089</v>
      </c>
    </row>
    <row r="681" spans="1:1">
      <c r="A681" s="26" t="s">
        <v>1090</v>
      </c>
    </row>
    <row r="682" spans="1:1">
      <c r="A682" s="26" t="s">
        <v>1091</v>
      </c>
    </row>
    <row r="683" spans="1:1">
      <c r="A683" s="26" t="s">
        <v>1092</v>
      </c>
    </row>
    <row r="684" spans="1:1">
      <c r="A684" s="26" t="s">
        <v>1093</v>
      </c>
    </row>
    <row r="685" spans="1:1">
      <c r="A685" s="26" t="s">
        <v>1094</v>
      </c>
    </row>
    <row r="686" spans="1:1">
      <c r="A686" s="26" t="s">
        <v>1095</v>
      </c>
    </row>
    <row r="687" spans="1:1">
      <c r="A687" s="26" t="s">
        <v>1096</v>
      </c>
    </row>
    <row r="688" spans="1:1">
      <c r="A688" s="26" t="s">
        <v>1097</v>
      </c>
    </row>
    <row r="689" spans="1:1">
      <c r="A689" s="26" t="s">
        <v>1098</v>
      </c>
    </row>
    <row r="690" spans="1:1">
      <c r="A690" s="26" t="s">
        <v>1099</v>
      </c>
    </row>
    <row r="691" spans="1:1">
      <c r="A691" s="26" t="s">
        <v>1100</v>
      </c>
    </row>
    <row r="692" spans="1:1">
      <c r="A692" s="26" t="s">
        <v>1101</v>
      </c>
    </row>
    <row r="693" spans="1:1">
      <c r="A693" s="26" t="s">
        <v>1102</v>
      </c>
    </row>
    <row r="694" spans="1:1">
      <c r="A694" s="26" t="s">
        <v>1103</v>
      </c>
    </row>
    <row r="695" spans="1:1">
      <c r="A695" s="26" t="s">
        <v>1104</v>
      </c>
    </row>
    <row r="696" spans="1:1">
      <c r="A696" s="26" t="s">
        <v>1105</v>
      </c>
    </row>
    <row r="697" spans="1:1">
      <c r="A697" s="26" t="s">
        <v>1106</v>
      </c>
    </row>
    <row r="698" spans="1:1">
      <c r="A698" s="26" t="s">
        <v>1107</v>
      </c>
    </row>
    <row r="699" spans="1:1">
      <c r="A699" s="26" t="s">
        <v>1108</v>
      </c>
    </row>
    <row r="700" spans="1:1">
      <c r="A700" s="26" t="s">
        <v>1109</v>
      </c>
    </row>
    <row r="701" spans="1:1">
      <c r="A701" s="26" t="s">
        <v>1110</v>
      </c>
    </row>
    <row r="702" spans="1:1">
      <c r="A702" s="26" t="s">
        <v>1111</v>
      </c>
    </row>
    <row r="703" spans="1:1">
      <c r="A703" s="26" t="s">
        <v>1112</v>
      </c>
    </row>
    <row r="704" spans="1:1">
      <c r="A704" s="26" t="s">
        <v>1113</v>
      </c>
    </row>
    <row r="705" spans="1:1">
      <c r="A705" s="26" t="s">
        <v>1114</v>
      </c>
    </row>
    <row r="706" spans="1:1">
      <c r="A706" s="26" t="s">
        <v>1115</v>
      </c>
    </row>
    <row r="707" spans="1:1">
      <c r="A707" s="26" t="s">
        <v>1116</v>
      </c>
    </row>
    <row r="708" spans="1:1">
      <c r="A708" s="26" t="s">
        <v>1117</v>
      </c>
    </row>
    <row r="709" spans="1:1">
      <c r="A709" s="26" t="s">
        <v>1118</v>
      </c>
    </row>
    <row r="710" spans="1:1">
      <c r="A710" s="26" t="s">
        <v>1119</v>
      </c>
    </row>
    <row r="711" spans="1:1">
      <c r="A711" s="26" t="s">
        <v>1120</v>
      </c>
    </row>
    <row r="712" spans="1:1">
      <c r="A712" s="26" t="s">
        <v>1121</v>
      </c>
    </row>
    <row r="713" spans="1:1">
      <c r="A713" s="26" t="s">
        <v>1122</v>
      </c>
    </row>
    <row r="714" spans="1:1">
      <c r="A714" s="26" t="s">
        <v>1123</v>
      </c>
    </row>
    <row r="715" spans="1:1">
      <c r="A715" s="26" t="s">
        <v>1124</v>
      </c>
    </row>
    <row r="716" spans="1:1">
      <c r="A716" s="26" t="s">
        <v>1125</v>
      </c>
    </row>
    <row r="717" spans="1:1">
      <c r="A717" s="26" t="s">
        <v>1126</v>
      </c>
    </row>
    <row r="718" spans="1:1">
      <c r="A718" s="26" t="s">
        <v>1127</v>
      </c>
    </row>
    <row r="719" spans="1:1">
      <c r="A719" s="26" t="s">
        <v>1128</v>
      </c>
    </row>
    <row r="720" spans="1:1">
      <c r="A720" s="26" t="s">
        <v>1129</v>
      </c>
    </row>
    <row r="721" spans="1:1">
      <c r="A721" s="26" t="s">
        <v>1130</v>
      </c>
    </row>
    <row r="722" spans="1:1">
      <c r="A722" s="26" t="s">
        <v>1131</v>
      </c>
    </row>
    <row r="723" spans="1:1">
      <c r="A723" s="26" t="s">
        <v>1132</v>
      </c>
    </row>
    <row r="724" spans="1:1">
      <c r="A724" s="26" t="s">
        <v>1133</v>
      </c>
    </row>
    <row r="725" spans="1:1">
      <c r="A725" s="26" t="s">
        <v>1134</v>
      </c>
    </row>
    <row r="726" spans="1:1">
      <c r="A726" s="26" t="s">
        <v>1135</v>
      </c>
    </row>
    <row r="727" spans="1:1">
      <c r="A727" s="26" t="s">
        <v>1136</v>
      </c>
    </row>
    <row r="728" spans="1:1">
      <c r="A728" s="26" t="s">
        <v>1137</v>
      </c>
    </row>
    <row r="729" spans="1:1">
      <c r="A729" s="26" t="s">
        <v>1138</v>
      </c>
    </row>
    <row r="730" spans="1:1">
      <c r="A730" s="26" t="s">
        <v>1139</v>
      </c>
    </row>
    <row r="731" spans="1:1">
      <c r="A731" s="26" t="s">
        <v>1140</v>
      </c>
    </row>
    <row r="732" spans="1:1">
      <c r="A732" s="26" t="s">
        <v>1141</v>
      </c>
    </row>
    <row r="733" spans="1:1">
      <c r="A733" s="26" t="s">
        <v>1142</v>
      </c>
    </row>
    <row r="734" spans="1:1">
      <c r="A734" s="26" t="s">
        <v>1143</v>
      </c>
    </row>
    <row r="735" spans="1:1">
      <c r="A735" s="26" t="s">
        <v>1144</v>
      </c>
    </row>
    <row r="736" spans="1:1">
      <c r="A736" s="26" t="s">
        <v>1145</v>
      </c>
    </row>
    <row r="737" spans="1:1">
      <c r="A737" s="26" t="s">
        <v>1146</v>
      </c>
    </row>
    <row r="738" spans="1:1">
      <c r="A738" s="26" t="s">
        <v>1147</v>
      </c>
    </row>
    <row r="739" spans="1:1">
      <c r="A739" s="26" t="s">
        <v>1148</v>
      </c>
    </row>
    <row r="740" spans="1:1">
      <c r="A740" s="26" t="s">
        <v>1149</v>
      </c>
    </row>
    <row r="741" spans="1:1">
      <c r="A741" s="26" t="s">
        <v>1150</v>
      </c>
    </row>
    <row r="742" spans="1:1">
      <c r="A742" s="26" t="s">
        <v>1151</v>
      </c>
    </row>
    <row r="743" spans="1:1">
      <c r="A743" s="26" t="s">
        <v>1152</v>
      </c>
    </row>
    <row r="744" spans="1:1">
      <c r="A744" s="26" t="s">
        <v>1153</v>
      </c>
    </row>
    <row r="745" spans="1:1">
      <c r="A745" s="26" t="s">
        <v>1154</v>
      </c>
    </row>
    <row r="746" spans="1:1">
      <c r="A746" s="26" t="s">
        <v>1155</v>
      </c>
    </row>
    <row r="747" spans="1:1">
      <c r="A747" s="26" t="s">
        <v>1156</v>
      </c>
    </row>
    <row r="748" spans="1:1">
      <c r="A748" s="26" t="s">
        <v>1157</v>
      </c>
    </row>
    <row r="749" spans="1:1">
      <c r="A749" s="26" t="s">
        <v>1158</v>
      </c>
    </row>
    <row r="750" spans="1:1">
      <c r="A750" s="26" t="s">
        <v>1159</v>
      </c>
    </row>
    <row r="751" spans="1:1">
      <c r="A751" s="26" t="s">
        <v>1160</v>
      </c>
    </row>
    <row r="752" spans="1:1">
      <c r="A752" s="26" t="s">
        <v>1161</v>
      </c>
    </row>
    <row r="753" spans="1:1">
      <c r="A753" s="26" t="s">
        <v>1162</v>
      </c>
    </row>
    <row r="754" spans="1:1">
      <c r="A754" s="26" t="s">
        <v>1163</v>
      </c>
    </row>
    <row r="755" spans="1:1">
      <c r="A755" s="26" t="s">
        <v>1164</v>
      </c>
    </row>
    <row r="756" spans="1:1">
      <c r="A756" s="26" t="s">
        <v>1165</v>
      </c>
    </row>
    <row r="757" spans="1:1">
      <c r="A757" s="26" t="s">
        <v>1166</v>
      </c>
    </row>
    <row r="758" spans="1:1">
      <c r="A758" s="26" t="s">
        <v>1167</v>
      </c>
    </row>
    <row r="759" spans="1:1">
      <c r="A759" s="26" t="s">
        <v>1168</v>
      </c>
    </row>
    <row r="760" spans="1:1">
      <c r="A760" s="26" t="s">
        <v>1169</v>
      </c>
    </row>
    <row r="761" spans="1:1">
      <c r="A761" s="26" t="s">
        <v>1170</v>
      </c>
    </row>
    <row r="762" spans="1:1">
      <c r="A762" s="26" t="s">
        <v>1171</v>
      </c>
    </row>
    <row r="763" spans="1:1">
      <c r="A763" s="26" t="s">
        <v>1172</v>
      </c>
    </row>
    <row r="764" spans="1:1">
      <c r="A764" s="26" t="s">
        <v>1173</v>
      </c>
    </row>
    <row r="765" spans="1:1">
      <c r="A765" s="26" t="s">
        <v>1174</v>
      </c>
    </row>
    <row r="766" spans="1:1">
      <c r="A766" s="26" t="s">
        <v>1175</v>
      </c>
    </row>
    <row r="767" spans="1:1">
      <c r="A767" s="26" t="s">
        <v>1176</v>
      </c>
    </row>
    <row r="768" spans="1:1">
      <c r="A768" s="26" t="s">
        <v>1177</v>
      </c>
    </row>
    <row r="769" spans="1:1">
      <c r="A769" s="26" t="s">
        <v>1178</v>
      </c>
    </row>
    <row r="770" spans="1:1">
      <c r="A770" s="26" t="s">
        <v>1179</v>
      </c>
    </row>
    <row r="771" spans="1:1">
      <c r="A771" s="26" t="s">
        <v>1180</v>
      </c>
    </row>
    <row r="772" spans="1:1">
      <c r="A772" s="26" t="s">
        <v>1181</v>
      </c>
    </row>
    <row r="773" spans="1:1">
      <c r="A773" s="26" t="s">
        <v>1182</v>
      </c>
    </row>
    <row r="774" spans="1:1">
      <c r="A774" s="26" t="s">
        <v>1183</v>
      </c>
    </row>
    <row r="775" spans="1:1">
      <c r="A775" s="26" t="s">
        <v>1184</v>
      </c>
    </row>
    <row r="776" spans="1:1">
      <c r="A776" s="26" t="s">
        <v>1185</v>
      </c>
    </row>
    <row r="777" spans="1:1">
      <c r="A777" s="26" t="s">
        <v>1186</v>
      </c>
    </row>
    <row r="778" spans="1:1">
      <c r="A778" s="26" t="s">
        <v>1187</v>
      </c>
    </row>
    <row r="779" spans="1:1">
      <c r="A779" s="26" t="s">
        <v>1188</v>
      </c>
    </row>
    <row r="780" spans="1:1">
      <c r="A780" s="26" t="s">
        <v>1189</v>
      </c>
    </row>
    <row r="781" spans="1:1">
      <c r="A781" s="26" t="s">
        <v>1190</v>
      </c>
    </row>
    <row r="782" spans="1:1">
      <c r="A782" s="26" t="s">
        <v>1191</v>
      </c>
    </row>
    <row r="783" spans="1:1">
      <c r="A783" s="26" t="s">
        <v>1192</v>
      </c>
    </row>
    <row r="784" spans="1:1">
      <c r="A784" s="26" t="s">
        <v>1193</v>
      </c>
    </row>
    <row r="785" spans="1:1">
      <c r="A785" s="26" t="s">
        <v>1194</v>
      </c>
    </row>
    <row r="786" spans="1:1">
      <c r="A786" s="26" t="s">
        <v>1195</v>
      </c>
    </row>
    <row r="787" spans="1:1">
      <c r="A787" s="26" t="s">
        <v>1196</v>
      </c>
    </row>
    <row r="788" spans="1:1">
      <c r="A788" s="26" t="s">
        <v>1197</v>
      </c>
    </row>
    <row r="789" spans="1:1">
      <c r="A789" s="26" t="s">
        <v>1198</v>
      </c>
    </row>
    <row r="790" spans="1:1">
      <c r="A790" s="26" t="s">
        <v>1199</v>
      </c>
    </row>
    <row r="791" spans="1:1">
      <c r="A791" s="26" t="s">
        <v>1200</v>
      </c>
    </row>
    <row r="792" spans="1:1">
      <c r="A792" s="26" t="s">
        <v>1201</v>
      </c>
    </row>
    <row r="793" spans="1:1">
      <c r="A793" s="26" t="s">
        <v>1202</v>
      </c>
    </row>
    <row r="794" spans="1:1">
      <c r="A794" s="26" t="s">
        <v>1203</v>
      </c>
    </row>
    <row r="795" spans="1:1">
      <c r="A795" s="26" t="s">
        <v>1204</v>
      </c>
    </row>
    <row r="796" spans="1:1">
      <c r="A796" s="26" t="s">
        <v>1205</v>
      </c>
    </row>
    <row r="797" spans="1:1">
      <c r="A797" s="26" t="s">
        <v>1206</v>
      </c>
    </row>
    <row r="798" spans="1:1">
      <c r="A798" s="26" t="s">
        <v>1207</v>
      </c>
    </row>
    <row r="799" spans="1:1">
      <c r="A799" s="26" t="s">
        <v>1208</v>
      </c>
    </row>
    <row r="800" spans="1:1">
      <c r="A800" s="26" t="s">
        <v>1209</v>
      </c>
    </row>
    <row r="801" spans="1:1">
      <c r="A801" s="26" t="s">
        <v>1210</v>
      </c>
    </row>
    <row r="802" spans="1:1">
      <c r="A802" s="26" t="s">
        <v>1211</v>
      </c>
    </row>
    <row r="803" spans="1:1">
      <c r="A803" s="26" t="s">
        <v>1212</v>
      </c>
    </row>
    <row r="804" spans="1:1">
      <c r="A804" s="26" t="s">
        <v>1213</v>
      </c>
    </row>
    <row r="805" spans="1:1">
      <c r="A805" s="26" t="s">
        <v>1214</v>
      </c>
    </row>
    <row r="806" spans="1:1">
      <c r="A806" s="26" t="s">
        <v>1215</v>
      </c>
    </row>
    <row r="807" spans="1:1">
      <c r="A807" s="26" t="s">
        <v>1216</v>
      </c>
    </row>
    <row r="808" spans="1:1">
      <c r="A808" s="26" t="s">
        <v>1217</v>
      </c>
    </row>
    <row r="809" spans="1:1">
      <c r="A809" s="26" t="s">
        <v>1218</v>
      </c>
    </row>
    <row r="810" spans="1:1">
      <c r="A810" s="26" t="s">
        <v>1219</v>
      </c>
    </row>
    <row r="811" spans="1:1">
      <c r="A811" s="26" t="s">
        <v>1220</v>
      </c>
    </row>
    <row r="812" spans="1:1">
      <c r="A812" s="26" t="s">
        <v>1221</v>
      </c>
    </row>
    <row r="813" spans="1:1">
      <c r="A813" s="26" t="s">
        <v>1222</v>
      </c>
    </row>
    <row r="814" spans="1:1">
      <c r="A814" s="26" t="s">
        <v>1223</v>
      </c>
    </row>
    <row r="815" spans="1:1">
      <c r="A815" s="26" t="s">
        <v>1224</v>
      </c>
    </row>
    <row r="816" spans="1:1">
      <c r="A816" s="26" t="s">
        <v>1225</v>
      </c>
    </row>
    <row r="817" spans="1:1">
      <c r="A817" s="26" t="s">
        <v>1226</v>
      </c>
    </row>
    <row r="818" spans="1:1">
      <c r="A818" s="26" t="s">
        <v>1227</v>
      </c>
    </row>
    <row r="819" spans="1:1">
      <c r="A819" s="26" t="s">
        <v>1228</v>
      </c>
    </row>
    <row r="820" spans="1:1">
      <c r="A820" s="26" t="s">
        <v>1229</v>
      </c>
    </row>
    <row r="821" spans="1:1">
      <c r="A821" s="26" t="s">
        <v>1230</v>
      </c>
    </row>
    <row r="822" spans="1:1">
      <c r="A822" s="26" t="s">
        <v>1231</v>
      </c>
    </row>
    <row r="823" spans="1:1">
      <c r="A823" s="26" t="s">
        <v>1232</v>
      </c>
    </row>
    <row r="824" spans="1:1">
      <c r="A824" s="26" t="s">
        <v>1233</v>
      </c>
    </row>
    <row r="825" spans="1:1">
      <c r="A825" s="26" t="s">
        <v>1234</v>
      </c>
    </row>
    <row r="826" spans="1:1">
      <c r="A826" s="26" t="s">
        <v>1235</v>
      </c>
    </row>
    <row r="827" spans="1:1">
      <c r="A827" s="26" t="s">
        <v>1236</v>
      </c>
    </row>
    <row r="828" spans="1:1">
      <c r="A828" s="26" t="s">
        <v>1237</v>
      </c>
    </row>
    <row r="829" spans="1:1">
      <c r="A829" s="26" t="s">
        <v>1238</v>
      </c>
    </row>
    <row r="830" spans="1:1">
      <c r="A830" s="26" t="s">
        <v>1239</v>
      </c>
    </row>
    <row r="831" spans="1:1">
      <c r="A831" s="26" t="s">
        <v>1240</v>
      </c>
    </row>
    <row r="832" spans="1:1">
      <c r="A832" s="26" t="s">
        <v>1241</v>
      </c>
    </row>
    <row r="833" spans="1:1">
      <c r="A833" s="26" t="s">
        <v>1242</v>
      </c>
    </row>
    <row r="834" spans="1:1">
      <c r="A834" s="26" t="s">
        <v>1243</v>
      </c>
    </row>
    <row r="835" spans="1:1">
      <c r="A835" s="26" t="s">
        <v>1244</v>
      </c>
    </row>
    <row r="836" spans="1:1">
      <c r="A836" s="26" t="s">
        <v>1245</v>
      </c>
    </row>
    <row r="837" spans="1:1">
      <c r="A837" s="26" t="s">
        <v>1246</v>
      </c>
    </row>
    <row r="838" spans="1:1">
      <c r="A838" s="26" t="s">
        <v>1247</v>
      </c>
    </row>
    <row r="839" spans="1:1">
      <c r="A839" s="26" t="s">
        <v>1248</v>
      </c>
    </row>
    <row r="840" spans="1:1">
      <c r="A840" s="26" t="s">
        <v>1249</v>
      </c>
    </row>
    <row r="841" spans="1:1">
      <c r="A841" s="26" t="s">
        <v>1250</v>
      </c>
    </row>
    <row r="842" spans="1:1">
      <c r="A842" s="26" t="s">
        <v>1251</v>
      </c>
    </row>
    <row r="843" spans="1:1">
      <c r="A843" s="26" t="s">
        <v>1252</v>
      </c>
    </row>
    <row r="844" spans="1:1">
      <c r="A844" s="26" t="s">
        <v>1253</v>
      </c>
    </row>
    <row r="845" spans="1:1">
      <c r="A845" s="26" t="s">
        <v>1254</v>
      </c>
    </row>
    <row r="846" spans="1:1">
      <c r="A846" s="26" t="s">
        <v>1255</v>
      </c>
    </row>
    <row r="847" spans="1:1">
      <c r="A847" s="26" t="s">
        <v>1256</v>
      </c>
    </row>
    <row r="848" spans="1:1">
      <c r="A848" s="26" t="s">
        <v>1257</v>
      </c>
    </row>
    <row r="849" spans="1:1">
      <c r="A849" s="26" t="s">
        <v>1258</v>
      </c>
    </row>
    <row r="850" spans="1:1">
      <c r="A850" s="26" t="s">
        <v>1259</v>
      </c>
    </row>
    <row r="851" spans="1:1">
      <c r="A851" s="26" t="s">
        <v>1260</v>
      </c>
    </row>
    <row r="852" spans="1:1">
      <c r="A852" s="26" t="s">
        <v>1261</v>
      </c>
    </row>
    <row r="853" spans="1:1">
      <c r="A853" s="26" t="s">
        <v>1262</v>
      </c>
    </row>
    <row r="854" spans="1:1">
      <c r="A854" s="26" t="s">
        <v>1263</v>
      </c>
    </row>
    <row r="855" spans="1:1">
      <c r="A855" s="26" t="s">
        <v>1264</v>
      </c>
    </row>
    <row r="856" spans="1:1">
      <c r="A856" s="26" t="s">
        <v>1265</v>
      </c>
    </row>
    <row r="857" spans="1:1">
      <c r="A857" s="26" t="s">
        <v>1266</v>
      </c>
    </row>
    <row r="858" spans="1:1">
      <c r="A858" s="26" t="s">
        <v>1267</v>
      </c>
    </row>
    <row r="859" spans="1:1">
      <c r="A859" s="26" t="s">
        <v>1268</v>
      </c>
    </row>
    <row r="860" spans="1:1">
      <c r="A860" s="26" t="s">
        <v>1269</v>
      </c>
    </row>
    <row r="861" spans="1:1">
      <c r="A861" s="26" t="s">
        <v>1270</v>
      </c>
    </row>
    <row r="862" spans="1:1">
      <c r="A862" s="26" t="s">
        <v>1271</v>
      </c>
    </row>
    <row r="863" spans="1:1">
      <c r="A863" s="26" t="s">
        <v>1272</v>
      </c>
    </row>
    <row r="864" spans="1:1">
      <c r="A864" s="26" t="s">
        <v>1273</v>
      </c>
    </row>
    <row r="865" spans="1:1">
      <c r="A865" s="26" t="s">
        <v>1274</v>
      </c>
    </row>
    <row r="866" spans="1:1">
      <c r="A866" s="26" t="s">
        <v>1275</v>
      </c>
    </row>
    <row r="867" spans="1:1">
      <c r="A867" s="26" t="s">
        <v>1276</v>
      </c>
    </row>
    <row r="868" spans="1:1">
      <c r="A868" s="26" t="s">
        <v>1277</v>
      </c>
    </row>
    <row r="869" spans="1:1">
      <c r="A869" s="26" t="s">
        <v>1278</v>
      </c>
    </row>
    <row r="870" spans="1:1">
      <c r="A870" s="26" t="s">
        <v>1279</v>
      </c>
    </row>
    <row r="871" spans="1:1">
      <c r="A871" s="26" t="s">
        <v>1280</v>
      </c>
    </row>
    <row r="872" spans="1:1">
      <c r="A872" s="26" t="s">
        <v>1281</v>
      </c>
    </row>
    <row r="873" spans="1:1">
      <c r="A873" s="26" t="s">
        <v>1282</v>
      </c>
    </row>
    <row r="874" spans="1:1">
      <c r="A874" s="26" t="s">
        <v>1283</v>
      </c>
    </row>
    <row r="875" spans="1:1">
      <c r="A875" s="26" t="s">
        <v>1284</v>
      </c>
    </row>
    <row r="876" spans="1:1">
      <c r="A876" s="26" t="s">
        <v>1285</v>
      </c>
    </row>
    <row r="877" spans="1:1">
      <c r="A877" s="26" t="s">
        <v>1286</v>
      </c>
    </row>
    <row r="878" spans="1:1">
      <c r="A878" s="26" t="s">
        <v>1287</v>
      </c>
    </row>
    <row r="879" spans="1:1">
      <c r="A879" s="26" t="s">
        <v>1288</v>
      </c>
    </row>
    <row r="880" spans="1:1">
      <c r="A880" s="26" t="s">
        <v>1289</v>
      </c>
    </row>
    <row r="881" spans="1:1">
      <c r="A881" s="26" t="s">
        <v>1290</v>
      </c>
    </row>
    <row r="882" spans="1:1">
      <c r="A882" s="26" t="s">
        <v>1291</v>
      </c>
    </row>
    <row r="883" spans="1:1">
      <c r="A883" s="26" t="s">
        <v>1292</v>
      </c>
    </row>
    <row r="884" spans="1:1">
      <c r="A884" s="26" t="s">
        <v>1293</v>
      </c>
    </row>
    <row r="885" spans="1:1">
      <c r="A885" s="26" t="s">
        <v>1294</v>
      </c>
    </row>
    <row r="886" spans="1:1">
      <c r="A886" s="26" t="s">
        <v>1295</v>
      </c>
    </row>
    <row r="887" spans="1:1">
      <c r="A887" s="26" t="s">
        <v>1296</v>
      </c>
    </row>
    <row r="888" spans="1:1">
      <c r="A888" s="26" t="s">
        <v>1297</v>
      </c>
    </row>
    <row r="889" spans="1:1">
      <c r="A889" s="26" t="s">
        <v>1298</v>
      </c>
    </row>
    <row r="890" spans="1:1">
      <c r="A890" s="26" t="s">
        <v>1299</v>
      </c>
    </row>
    <row r="891" spans="1:1">
      <c r="A891" s="26" t="s">
        <v>1300</v>
      </c>
    </row>
    <row r="892" spans="1:1">
      <c r="A892" s="26" t="s">
        <v>1301</v>
      </c>
    </row>
    <row r="893" spans="1:1">
      <c r="A893" s="26" t="s">
        <v>1302</v>
      </c>
    </row>
    <row r="894" spans="1:1">
      <c r="A894" s="26" t="s">
        <v>1303</v>
      </c>
    </row>
    <row r="895" spans="1:1">
      <c r="A895" s="26" t="s">
        <v>1304</v>
      </c>
    </row>
    <row r="896" spans="1:1">
      <c r="A896" s="26" t="s">
        <v>1305</v>
      </c>
    </row>
    <row r="897" spans="1:1">
      <c r="A897" s="26" t="s">
        <v>1306</v>
      </c>
    </row>
    <row r="898" spans="1:1">
      <c r="A898" s="26" t="s">
        <v>1307</v>
      </c>
    </row>
    <row r="899" spans="1:1">
      <c r="A899" s="26" t="s">
        <v>1308</v>
      </c>
    </row>
    <row r="900" spans="1:1">
      <c r="A900" s="26" t="s">
        <v>1309</v>
      </c>
    </row>
    <row r="901" spans="1:1">
      <c r="A901" s="26" t="s">
        <v>1310</v>
      </c>
    </row>
    <row r="902" spans="1:1">
      <c r="A902" s="26" t="s">
        <v>1311</v>
      </c>
    </row>
    <row r="903" spans="1:1">
      <c r="A903" s="26" t="s">
        <v>1312</v>
      </c>
    </row>
    <row r="904" spans="1:1">
      <c r="A904" s="26" t="s">
        <v>1313</v>
      </c>
    </row>
    <row r="905" spans="1:1">
      <c r="A905" s="26" t="s">
        <v>1314</v>
      </c>
    </row>
    <row r="906" spans="1:1">
      <c r="A906" s="26" t="s">
        <v>1315</v>
      </c>
    </row>
    <row r="907" spans="1:1">
      <c r="A907" s="26" t="s">
        <v>1316</v>
      </c>
    </row>
    <row r="908" spans="1:1">
      <c r="A908" s="26" t="s">
        <v>1317</v>
      </c>
    </row>
    <row r="909" spans="1:1">
      <c r="A909" s="26" t="s">
        <v>1318</v>
      </c>
    </row>
    <row r="910" spans="1:1">
      <c r="A910" s="26" t="s">
        <v>1319</v>
      </c>
    </row>
    <row r="911" spans="1:1">
      <c r="A911" s="26" t="s">
        <v>1320</v>
      </c>
    </row>
    <row r="912" spans="1:1">
      <c r="A912" s="26" t="s">
        <v>1321</v>
      </c>
    </row>
    <row r="913" spans="1:1">
      <c r="A913" s="26" t="s">
        <v>1322</v>
      </c>
    </row>
    <row r="914" spans="1:1">
      <c r="A914" s="26" t="s">
        <v>1323</v>
      </c>
    </row>
    <row r="915" spans="1:1">
      <c r="A915" s="26" t="s">
        <v>1324</v>
      </c>
    </row>
    <row r="916" spans="1:1">
      <c r="A916" s="26" t="s">
        <v>1325</v>
      </c>
    </row>
    <row r="917" spans="1:1">
      <c r="A917" s="26" t="s">
        <v>1326</v>
      </c>
    </row>
    <row r="918" spans="1:1">
      <c r="A918" s="26" t="s">
        <v>1327</v>
      </c>
    </row>
    <row r="919" spans="1:1">
      <c r="A919" s="26" t="s">
        <v>1328</v>
      </c>
    </row>
    <row r="920" spans="1:1">
      <c r="A920" s="26" t="s">
        <v>1329</v>
      </c>
    </row>
    <row r="921" spans="1:1">
      <c r="A921" s="26" t="s">
        <v>1330</v>
      </c>
    </row>
    <row r="922" spans="1:1">
      <c r="A922" s="26" t="s">
        <v>1331</v>
      </c>
    </row>
    <row r="923" spans="1:1">
      <c r="A923" s="26" t="s">
        <v>1332</v>
      </c>
    </row>
    <row r="924" spans="1:1">
      <c r="A924" s="26" t="s">
        <v>1333</v>
      </c>
    </row>
    <row r="925" spans="1:1">
      <c r="A925" s="26" t="s">
        <v>1334</v>
      </c>
    </row>
    <row r="926" spans="1:1">
      <c r="A926" s="26" t="s">
        <v>1335</v>
      </c>
    </row>
    <row r="927" spans="1:1">
      <c r="A927" s="26" t="s">
        <v>1336</v>
      </c>
    </row>
    <row r="928" spans="1:1">
      <c r="A928" s="26" t="s">
        <v>1337</v>
      </c>
    </row>
    <row r="929" spans="1:1">
      <c r="A929" s="26" t="s">
        <v>1338</v>
      </c>
    </row>
    <row r="930" spans="1:1">
      <c r="A930" s="26" t="s">
        <v>1339</v>
      </c>
    </row>
    <row r="931" spans="1:1">
      <c r="A931" s="26" t="s">
        <v>1340</v>
      </c>
    </row>
    <row r="932" spans="1:1">
      <c r="A932" s="26" t="s">
        <v>1341</v>
      </c>
    </row>
    <row r="933" spans="1:1">
      <c r="A933" s="26" t="s">
        <v>1342</v>
      </c>
    </row>
    <row r="934" spans="1:1">
      <c r="A934" s="26" t="s">
        <v>1343</v>
      </c>
    </row>
    <row r="935" spans="1:1">
      <c r="A935" s="26" t="s">
        <v>1344</v>
      </c>
    </row>
    <row r="936" spans="1:1">
      <c r="A936" s="26" t="s">
        <v>1345</v>
      </c>
    </row>
    <row r="937" spans="1:1">
      <c r="A937" s="26" t="s">
        <v>1346</v>
      </c>
    </row>
    <row r="938" spans="1:1">
      <c r="A938" s="26" t="s">
        <v>1347</v>
      </c>
    </row>
    <row r="939" spans="1:1">
      <c r="A939" s="26" t="s">
        <v>1348</v>
      </c>
    </row>
    <row r="940" spans="1:1">
      <c r="A940" s="26" t="s">
        <v>1349</v>
      </c>
    </row>
    <row r="941" spans="1:1">
      <c r="A941" s="26" t="s">
        <v>1350</v>
      </c>
    </row>
    <row r="942" spans="1:1">
      <c r="A942" s="26" t="s">
        <v>1351</v>
      </c>
    </row>
    <row r="943" spans="1:1">
      <c r="A943" s="26" t="s">
        <v>1352</v>
      </c>
    </row>
    <row r="944" spans="1:1">
      <c r="A944" s="26" t="s">
        <v>1353</v>
      </c>
    </row>
    <row r="945" spans="1:1">
      <c r="A945" s="26" t="s">
        <v>1354</v>
      </c>
    </row>
    <row r="946" spans="1:1">
      <c r="A946" s="26" t="s">
        <v>1355</v>
      </c>
    </row>
    <row r="947" spans="1:1">
      <c r="A947" s="26" t="s">
        <v>1356</v>
      </c>
    </row>
    <row r="948" spans="1:1">
      <c r="A948" s="26" t="s">
        <v>1357</v>
      </c>
    </row>
    <row r="949" spans="1:1">
      <c r="A949" s="26" t="s">
        <v>1358</v>
      </c>
    </row>
    <row r="950" spans="1:1">
      <c r="A950" s="26" t="s">
        <v>1359</v>
      </c>
    </row>
    <row r="951" spans="1:1">
      <c r="A951" s="26" t="s">
        <v>1360</v>
      </c>
    </row>
    <row r="952" spans="1:1">
      <c r="A952" s="26" t="s">
        <v>1361</v>
      </c>
    </row>
    <row r="953" spans="1:1">
      <c r="A953" s="26" t="s">
        <v>1362</v>
      </c>
    </row>
    <row r="954" spans="1:1">
      <c r="A954" s="26" t="s">
        <v>1363</v>
      </c>
    </row>
    <row r="955" spans="1:1">
      <c r="A955" s="26" t="s">
        <v>1364</v>
      </c>
    </row>
    <row r="956" spans="1:1">
      <c r="A956" s="26" t="s">
        <v>1365</v>
      </c>
    </row>
    <row r="957" spans="1:1">
      <c r="A957" s="26" t="s">
        <v>1366</v>
      </c>
    </row>
    <row r="958" spans="1:1">
      <c r="A958" s="26" t="s">
        <v>1367</v>
      </c>
    </row>
    <row r="959" spans="1:1">
      <c r="A959" s="26" t="s">
        <v>1368</v>
      </c>
    </row>
    <row r="960" spans="1:1">
      <c r="A960" s="26" t="s">
        <v>1369</v>
      </c>
    </row>
    <row r="961" spans="1:1">
      <c r="A961" s="26" t="s">
        <v>1370</v>
      </c>
    </row>
    <row r="962" spans="1:1">
      <c r="A962" s="26" t="s">
        <v>1371</v>
      </c>
    </row>
    <row r="963" spans="1:1">
      <c r="A963" s="26" t="s">
        <v>1372</v>
      </c>
    </row>
    <row r="964" spans="1:1">
      <c r="A964" s="26" t="s">
        <v>1373</v>
      </c>
    </row>
    <row r="965" spans="1:1">
      <c r="A965" s="26" t="s">
        <v>1374</v>
      </c>
    </row>
    <row r="966" spans="1:1">
      <c r="A966" s="26" t="s">
        <v>1375</v>
      </c>
    </row>
    <row r="967" spans="1:1">
      <c r="A967" s="26" t="s">
        <v>1376</v>
      </c>
    </row>
    <row r="968" spans="1:1">
      <c r="A968" s="26" t="s">
        <v>1377</v>
      </c>
    </row>
    <row r="969" spans="1:1">
      <c r="A969" s="26" t="s">
        <v>1378</v>
      </c>
    </row>
    <row r="970" spans="1:1">
      <c r="A970" s="26" t="s">
        <v>1379</v>
      </c>
    </row>
    <row r="971" spans="1:1">
      <c r="A971" s="26" t="s">
        <v>1380</v>
      </c>
    </row>
    <row r="972" spans="1:1">
      <c r="A972" s="26" t="s">
        <v>1381</v>
      </c>
    </row>
    <row r="973" spans="1:1">
      <c r="A973" s="26" t="s">
        <v>1382</v>
      </c>
    </row>
    <row r="974" spans="1:1">
      <c r="A974" s="26" t="s">
        <v>1383</v>
      </c>
    </row>
    <row r="975" spans="1:1">
      <c r="A975" s="26" t="s">
        <v>1384</v>
      </c>
    </row>
    <row r="976" spans="1:1">
      <c r="A976" s="26" t="s">
        <v>1385</v>
      </c>
    </row>
    <row r="977" spans="1:1">
      <c r="A977" s="26" t="s">
        <v>1386</v>
      </c>
    </row>
    <row r="978" spans="1:1">
      <c r="A978" s="26" t="s">
        <v>1387</v>
      </c>
    </row>
    <row r="979" spans="1:1">
      <c r="A979" s="26" t="s">
        <v>1388</v>
      </c>
    </row>
    <row r="980" spans="1:1">
      <c r="A980" s="26" t="s">
        <v>1389</v>
      </c>
    </row>
    <row r="981" spans="1:1">
      <c r="A981" s="26" t="s">
        <v>1390</v>
      </c>
    </row>
    <row r="982" spans="1:1">
      <c r="A982" s="26" t="s">
        <v>1391</v>
      </c>
    </row>
    <row r="983" spans="1:1">
      <c r="A983" s="26" t="s">
        <v>1392</v>
      </c>
    </row>
    <row r="984" spans="1:1">
      <c r="A984" s="26" t="s">
        <v>1393</v>
      </c>
    </row>
    <row r="985" spans="1:1">
      <c r="A985" s="26" t="s">
        <v>1394</v>
      </c>
    </row>
    <row r="986" spans="1:1">
      <c r="A986" s="26" t="s">
        <v>1395</v>
      </c>
    </row>
    <row r="987" spans="1:1">
      <c r="A987" s="26" t="s">
        <v>1396</v>
      </c>
    </row>
    <row r="988" spans="1:1">
      <c r="A988" s="26" t="s">
        <v>1397</v>
      </c>
    </row>
    <row r="989" spans="1:1">
      <c r="A989" s="26" t="s">
        <v>1398</v>
      </c>
    </row>
    <row r="990" spans="1:1">
      <c r="A990" s="26" t="s">
        <v>1399</v>
      </c>
    </row>
    <row r="991" spans="1:1">
      <c r="A991" s="26" t="s">
        <v>1400</v>
      </c>
    </row>
    <row r="992" spans="1:1">
      <c r="A992" s="26" t="s">
        <v>1401</v>
      </c>
    </row>
    <row r="993" spans="1:1">
      <c r="A993" s="26" t="s">
        <v>1402</v>
      </c>
    </row>
    <row r="994" spans="1:1">
      <c r="A994" s="26" t="s">
        <v>1403</v>
      </c>
    </row>
    <row r="995" spans="1:1">
      <c r="A995" s="26" t="s">
        <v>1404</v>
      </c>
    </row>
    <row r="996" spans="1:1">
      <c r="A996" s="26" t="s">
        <v>1405</v>
      </c>
    </row>
    <row r="997" spans="1:1">
      <c r="A997" s="26" t="s">
        <v>1406</v>
      </c>
    </row>
    <row r="998" spans="1:1">
      <c r="A998" s="26" t="s">
        <v>1407</v>
      </c>
    </row>
    <row r="999" spans="1:1">
      <c r="A999" s="26" t="s">
        <v>1408</v>
      </c>
    </row>
    <row r="1000" spans="1:1">
      <c r="A1000" s="26" t="s">
        <v>1409</v>
      </c>
    </row>
    <row r="1001" spans="1:1">
      <c r="A1001" s="26" t="s">
        <v>1410</v>
      </c>
    </row>
    <row r="1002" spans="1:1">
      <c r="A1002" s="26" t="s">
        <v>1411</v>
      </c>
    </row>
    <row r="1003" spans="1:1">
      <c r="A1003" s="26" t="s">
        <v>1412</v>
      </c>
    </row>
    <row r="1004" spans="1:1">
      <c r="A1004" s="26" t="s">
        <v>1413</v>
      </c>
    </row>
    <row r="1005" spans="1:1">
      <c r="A1005" s="26" t="s">
        <v>1414</v>
      </c>
    </row>
    <row r="1006" spans="1:1">
      <c r="A1006" s="26" t="s">
        <v>1415</v>
      </c>
    </row>
    <row r="1007" spans="1:1">
      <c r="A1007" s="26" t="s">
        <v>1416</v>
      </c>
    </row>
    <row r="1008" spans="1:1">
      <c r="A1008" s="26" t="s">
        <v>1417</v>
      </c>
    </row>
    <row r="1009" spans="1:1">
      <c r="A1009" s="26" t="s">
        <v>1418</v>
      </c>
    </row>
    <row r="1010" spans="1:1">
      <c r="A1010" s="26" t="s">
        <v>1419</v>
      </c>
    </row>
    <row r="1011" spans="1:1">
      <c r="A1011" s="26" t="s">
        <v>1420</v>
      </c>
    </row>
    <row r="1012" spans="1:1">
      <c r="A1012" s="26" t="s">
        <v>1421</v>
      </c>
    </row>
    <row r="1013" spans="1:1">
      <c r="A1013" s="26" t="s">
        <v>1422</v>
      </c>
    </row>
    <row r="1014" spans="1:1">
      <c r="A1014" s="26" t="s">
        <v>1423</v>
      </c>
    </row>
    <row r="1015" spans="1:1">
      <c r="A1015" s="26" t="s">
        <v>1424</v>
      </c>
    </row>
    <row r="1016" spans="1:1">
      <c r="A1016" s="26" t="s">
        <v>1425</v>
      </c>
    </row>
    <row r="1017" spans="1:1">
      <c r="A1017" s="26" t="s">
        <v>1426</v>
      </c>
    </row>
    <row r="1018" spans="1:1">
      <c r="A1018" s="26" t="s">
        <v>1427</v>
      </c>
    </row>
    <row r="1019" spans="1:1">
      <c r="A1019" s="26" t="s">
        <v>1428</v>
      </c>
    </row>
    <row r="1020" spans="1:1">
      <c r="A1020" s="26" t="s">
        <v>1429</v>
      </c>
    </row>
    <row r="1021" spans="1:1">
      <c r="A1021" s="26" t="s">
        <v>1430</v>
      </c>
    </row>
    <row r="1022" spans="1:1">
      <c r="A1022" s="26" t="s">
        <v>1431</v>
      </c>
    </row>
    <row r="1023" spans="1:1">
      <c r="A1023" s="26" t="s">
        <v>1432</v>
      </c>
    </row>
    <row r="1024" spans="1:1">
      <c r="A1024" s="26" t="s">
        <v>1433</v>
      </c>
    </row>
    <row r="1025" spans="1:1">
      <c r="A1025" s="26" t="s">
        <v>1434</v>
      </c>
    </row>
    <row r="1026" spans="1:1">
      <c r="A1026" s="26" t="s">
        <v>1435</v>
      </c>
    </row>
    <row r="1027" spans="1:1">
      <c r="A1027" s="26" t="s">
        <v>1436</v>
      </c>
    </row>
    <row r="1028" spans="1:1">
      <c r="A1028" s="26" t="s">
        <v>1437</v>
      </c>
    </row>
    <row r="1029" spans="1:1">
      <c r="A1029" s="26" t="s">
        <v>1438</v>
      </c>
    </row>
    <row r="1030" spans="1:1">
      <c r="A1030" s="26" t="s">
        <v>1439</v>
      </c>
    </row>
    <row r="1031" spans="1:1">
      <c r="A1031" s="26" t="s">
        <v>1440</v>
      </c>
    </row>
    <row r="1032" spans="1:1">
      <c r="A1032" s="26" t="s">
        <v>1441</v>
      </c>
    </row>
    <row r="1033" spans="1:1">
      <c r="A1033" s="26" t="s">
        <v>1442</v>
      </c>
    </row>
    <row r="1034" spans="1:1">
      <c r="A1034" s="26" t="s">
        <v>1443</v>
      </c>
    </row>
    <row r="1035" spans="1:1">
      <c r="A1035" s="26" t="s">
        <v>1444</v>
      </c>
    </row>
    <row r="1036" spans="1:1">
      <c r="A1036" s="26" t="s">
        <v>1445</v>
      </c>
    </row>
    <row r="1037" spans="1:1">
      <c r="A1037" s="26" t="s">
        <v>1446</v>
      </c>
    </row>
    <row r="1038" spans="1:1">
      <c r="A1038" s="26" t="s">
        <v>1447</v>
      </c>
    </row>
    <row r="1039" spans="1:1">
      <c r="A1039" s="26" t="s">
        <v>1448</v>
      </c>
    </row>
    <row r="1040" spans="1:1">
      <c r="A1040" s="26" t="s">
        <v>1449</v>
      </c>
    </row>
    <row r="1041" spans="1:1">
      <c r="A1041" s="26" t="s">
        <v>1450</v>
      </c>
    </row>
    <row r="1042" spans="1:1">
      <c r="A1042" s="26" t="s">
        <v>1451</v>
      </c>
    </row>
    <row r="1043" spans="1:1">
      <c r="A1043" s="26" t="s">
        <v>1452</v>
      </c>
    </row>
    <row r="1044" spans="1:1">
      <c r="A1044" s="26" t="s">
        <v>1453</v>
      </c>
    </row>
    <row r="1045" spans="1:1">
      <c r="A1045" s="26" t="s">
        <v>1454</v>
      </c>
    </row>
    <row r="1046" spans="1:1">
      <c r="A1046" s="26" t="s">
        <v>1455</v>
      </c>
    </row>
    <row r="1047" spans="1:1">
      <c r="A1047" s="26" t="s">
        <v>1456</v>
      </c>
    </row>
    <row r="1048" spans="1:1">
      <c r="A1048" s="26" t="s">
        <v>1457</v>
      </c>
    </row>
    <row r="1049" spans="1:1">
      <c r="A1049" s="26" t="s">
        <v>1458</v>
      </c>
    </row>
    <row r="1050" spans="1:1">
      <c r="A1050" s="26" t="s">
        <v>1459</v>
      </c>
    </row>
    <row r="1051" spans="1:1">
      <c r="A1051" s="26" t="s">
        <v>1460</v>
      </c>
    </row>
    <row r="1052" spans="1:1">
      <c r="A1052" s="26" t="s">
        <v>1461</v>
      </c>
    </row>
    <row r="1053" spans="1:1">
      <c r="A1053" s="26" t="s">
        <v>1462</v>
      </c>
    </row>
    <row r="1054" spans="1:1">
      <c r="A1054" s="26" t="s">
        <v>1463</v>
      </c>
    </row>
    <row r="1055" spans="1:1">
      <c r="A1055" s="26" t="s">
        <v>1464</v>
      </c>
    </row>
    <row r="1056" spans="1:1">
      <c r="A1056" s="26" t="s">
        <v>1465</v>
      </c>
    </row>
    <row r="1057" spans="1:1">
      <c r="A1057" s="26" t="s">
        <v>1466</v>
      </c>
    </row>
    <row r="1058" spans="1:1">
      <c r="A1058" s="26" t="s">
        <v>1467</v>
      </c>
    </row>
    <row r="1059" spans="1:1">
      <c r="A1059" s="26" t="s">
        <v>1468</v>
      </c>
    </row>
    <row r="1060" spans="1:1">
      <c r="A1060" s="26" t="s">
        <v>1469</v>
      </c>
    </row>
    <row r="1061" spans="1:1">
      <c r="A1061" s="26" t="s">
        <v>1470</v>
      </c>
    </row>
    <row r="1062" spans="1:1">
      <c r="A1062" s="26" t="s">
        <v>1471</v>
      </c>
    </row>
    <row r="1063" spans="1:1">
      <c r="A1063" s="26" t="s">
        <v>1472</v>
      </c>
    </row>
    <row r="1064" spans="1:1">
      <c r="A1064" s="26" t="s">
        <v>1473</v>
      </c>
    </row>
    <row r="1065" spans="1:1">
      <c r="A1065" s="26" t="s">
        <v>1474</v>
      </c>
    </row>
    <row r="1066" spans="1:1">
      <c r="A1066" s="26" t="s">
        <v>1475</v>
      </c>
    </row>
    <row r="1067" spans="1:1">
      <c r="A1067" s="26" t="s">
        <v>1476</v>
      </c>
    </row>
    <row r="1068" spans="1:1">
      <c r="A1068" s="26" t="s">
        <v>1477</v>
      </c>
    </row>
    <row r="1069" spans="1:1">
      <c r="A1069" s="26" t="s">
        <v>1478</v>
      </c>
    </row>
    <row r="1070" spans="1:1">
      <c r="A1070" s="26" t="s">
        <v>1479</v>
      </c>
    </row>
    <row r="1071" spans="1:1">
      <c r="A1071" s="26" t="s">
        <v>1480</v>
      </c>
    </row>
    <row r="1072" spans="1:1">
      <c r="A1072" s="26" t="s">
        <v>1481</v>
      </c>
    </row>
    <row r="1073" spans="1:1">
      <c r="A1073" s="26" t="s">
        <v>1482</v>
      </c>
    </row>
    <row r="1074" spans="1:1">
      <c r="A1074" s="26" t="s">
        <v>1483</v>
      </c>
    </row>
    <row r="1075" spans="1:1">
      <c r="A1075" s="26" t="s">
        <v>1484</v>
      </c>
    </row>
    <row r="1076" spans="1:1">
      <c r="A1076" s="26" t="s">
        <v>1485</v>
      </c>
    </row>
    <row r="1077" spans="1:1">
      <c r="A1077" s="26" t="s">
        <v>1486</v>
      </c>
    </row>
    <row r="1078" spans="1:1">
      <c r="A1078" s="26" t="s">
        <v>1487</v>
      </c>
    </row>
    <row r="1079" spans="1:1">
      <c r="A1079" s="26" t="s">
        <v>1488</v>
      </c>
    </row>
    <row r="1080" spans="1:1">
      <c r="A1080" s="26" t="s">
        <v>1489</v>
      </c>
    </row>
    <row r="1081" spans="1:1">
      <c r="A1081" s="26" t="s">
        <v>1490</v>
      </c>
    </row>
    <row r="1082" spans="1:1">
      <c r="A1082" s="26" t="s">
        <v>1491</v>
      </c>
    </row>
    <row r="1083" spans="1:1">
      <c r="A1083" s="26" t="s">
        <v>1492</v>
      </c>
    </row>
    <row r="1084" spans="1:1">
      <c r="A1084" s="26" t="s">
        <v>1493</v>
      </c>
    </row>
    <row r="1085" spans="1:1">
      <c r="A1085" s="26" t="s">
        <v>1494</v>
      </c>
    </row>
    <row r="1086" spans="1:1">
      <c r="A1086" s="26" t="s">
        <v>1495</v>
      </c>
    </row>
    <row r="1087" spans="1:1">
      <c r="A1087" s="26" t="s">
        <v>1496</v>
      </c>
    </row>
    <row r="1088" spans="1:1">
      <c r="A1088" s="26" t="s">
        <v>1497</v>
      </c>
    </row>
    <row r="1089" spans="1:1">
      <c r="A1089" s="26" t="s">
        <v>1498</v>
      </c>
    </row>
    <row r="1090" spans="1:1">
      <c r="A1090" s="26" t="s">
        <v>1499</v>
      </c>
    </row>
    <row r="1091" spans="1:1">
      <c r="A1091" s="26" t="s">
        <v>1500</v>
      </c>
    </row>
    <row r="1092" spans="1:1">
      <c r="A1092" s="26" t="s">
        <v>1501</v>
      </c>
    </row>
    <row r="1093" spans="1:1">
      <c r="A1093" s="26" t="s">
        <v>1502</v>
      </c>
    </row>
    <row r="1094" spans="1:1">
      <c r="A1094" s="26" t="s">
        <v>1503</v>
      </c>
    </row>
    <row r="1095" spans="1:1">
      <c r="A1095" s="26" t="s">
        <v>1504</v>
      </c>
    </row>
    <row r="1096" spans="1:1">
      <c r="A1096" s="26" t="s">
        <v>1505</v>
      </c>
    </row>
    <row r="1097" spans="1:1">
      <c r="A1097" s="26" t="s">
        <v>1506</v>
      </c>
    </row>
    <row r="1098" spans="1:1">
      <c r="A1098" s="26" t="s">
        <v>1507</v>
      </c>
    </row>
    <row r="1099" spans="1:1">
      <c r="A1099" s="26" t="s">
        <v>1508</v>
      </c>
    </row>
    <row r="1100" spans="1:1">
      <c r="A1100" s="26" t="s">
        <v>1509</v>
      </c>
    </row>
    <row r="1101" spans="1:1">
      <c r="A1101" s="26" t="s">
        <v>1510</v>
      </c>
    </row>
    <row r="1102" spans="1:1">
      <c r="A1102" s="26" t="s">
        <v>1511</v>
      </c>
    </row>
    <row r="1103" spans="1:1">
      <c r="A1103" s="26" t="s">
        <v>1512</v>
      </c>
    </row>
    <row r="1104" spans="1:1">
      <c r="A1104" s="26" t="s">
        <v>1513</v>
      </c>
    </row>
    <row r="1105" spans="1:1">
      <c r="A1105" s="26" t="s">
        <v>1514</v>
      </c>
    </row>
    <row r="1106" spans="1:1">
      <c r="A1106" s="26" t="s">
        <v>1515</v>
      </c>
    </row>
    <row r="1107" spans="1:1">
      <c r="A1107" s="26" t="s">
        <v>1516</v>
      </c>
    </row>
    <row r="1108" spans="1:1">
      <c r="A1108" s="26" t="s">
        <v>1517</v>
      </c>
    </row>
    <row r="1109" spans="1:1">
      <c r="A1109" s="26" t="s">
        <v>1518</v>
      </c>
    </row>
    <row r="1110" spans="1:1">
      <c r="A1110" s="26" t="s">
        <v>1519</v>
      </c>
    </row>
    <row r="1111" spans="1:1">
      <c r="A1111" s="26" t="s">
        <v>1520</v>
      </c>
    </row>
    <row r="1112" spans="1:1">
      <c r="A1112" s="26" t="s">
        <v>1521</v>
      </c>
    </row>
    <row r="1113" spans="1:1">
      <c r="A1113" s="26" t="s">
        <v>1522</v>
      </c>
    </row>
    <row r="1114" spans="1:1">
      <c r="A1114" s="26" t="s">
        <v>1523</v>
      </c>
    </row>
    <row r="1115" spans="1:1">
      <c r="A1115" s="26" t="s">
        <v>1524</v>
      </c>
    </row>
    <row r="1116" spans="1:1">
      <c r="A1116" s="26" t="s">
        <v>1525</v>
      </c>
    </row>
    <row r="1117" spans="1:1">
      <c r="A1117" s="26" t="s">
        <v>1526</v>
      </c>
    </row>
    <row r="1118" spans="1:1">
      <c r="A1118" s="26" t="s">
        <v>1527</v>
      </c>
    </row>
    <row r="1119" spans="1:1">
      <c r="A1119" s="26" t="s">
        <v>1528</v>
      </c>
    </row>
    <row r="1120" spans="1:1">
      <c r="A1120" s="26" t="s">
        <v>1529</v>
      </c>
    </row>
    <row r="1121" spans="1:1">
      <c r="A1121" s="26" t="s">
        <v>1530</v>
      </c>
    </row>
    <row r="1122" spans="1:1">
      <c r="A1122" s="26" t="s">
        <v>1531</v>
      </c>
    </row>
    <row r="1123" spans="1:1">
      <c r="A1123" s="26" t="s">
        <v>1532</v>
      </c>
    </row>
    <row r="1124" spans="1:1">
      <c r="A1124" s="26" t="s">
        <v>1533</v>
      </c>
    </row>
    <row r="1125" spans="1:1">
      <c r="A1125" s="26" t="s">
        <v>1534</v>
      </c>
    </row>
    <row r="1126" spans="1:1">
      <c r="A1126" s="26" t="s">
        <v>1535</v>
      </c>
    </row>
    <row r="1127" spans="1:1">
      <c r="A1127" s="26" t="s">
        <v>1536</v>
      </c>
    </row>
    <row r="1128" spans="1:1">
      <c r="A1128" s="26" t="s">
        <v>1537</v>
      </c>
    </row>
    <row r="1129" spans="1:1">
      <c r="A1129" s="26" t="s">
        <v>1538</v>
      </c>
    </row>
    <row r="1130" spans="1:1">
      <c r="A1130" s="26" t="s">
        <v>1539</v>
      </c>
    </row>
    <row r="1131" spans="1:1">
      <c r="A1131" s="26" t="s">
        <v>1540</v>
      </c>
    </row>
    <row r="1132" spans="1:1">
      <c r="A1132" s="26" t="s">
        <v>1541</v>
      </c>
    </row>
    <row r="1133" spans="1:1">
      <c r="A1133" s="26" t="s">
        <v>1542</v>
      </c>
    </row>
    <row r="1134" spans="1:1">
      <c r="A1134" s="26" t="s">
        <v>1543</v>
      </c>
    </row>
    <row r="1135" spans="1:1">
      <c r="A1135" s="26" t="s">
        <v>1544</v>
      </c>
    </row>
    <row r="1136" spans="1:1">
      <c r="A1136" s="26" t="s">
        <v>1545</v>
      </c>
    </row>
    <row r="1137" spans="1:1">
      <c r="A1137" s="26" t="s">
        <v>1546</v>
      </c>
    </row>
    <row r="1138" spans="1:1">
      <c r="A1138" s="26" t="s">
        <v>1547</v>
      </c>
    </row>
    <row r="1139" spans="1:1">
      <c r="A1139" s="26" t="s">
        <v>1548</v>
      </c>
    </row>
    <row r="1140" spans="1:1">
      <c r="A1140" s="26" t="s">
        <v>1549</v>
      </c>
    </row>
    <row r="1141" spans="1:1">
      <c r="A1141" s="26" t="s">
        <v>1550</v>
      </c>
    </row>
    <row r="1142" spans="1:1">
      <c r="A1142" s="26" t="s">
        <v>1551</v>
      </c>
    </row>
    <row r="1143" spans="1:1">
      <c r="A1143" s="26" t="s">
        <v>1552</v>
      </c>
    </row>
    <row r="1144" spans="1:1">
      <c r="A1144" s="26" t="s">
        <v>1553</v>
      </c>
    </row>
    <row r="1145" spans="1:1">
      <c r="A1145" s="26" t="s">
        <v>1554</v>
      </c>
    </row>
    <row r="1146" spans="1:1">
      <c r="A1146" s="26" t="s">
        <v>1555</v>
      </c>
    </row>
    <row r="1147" spans="1:1">
      <c r="A1147" s="26" t="s">
        <v>1556</v>
      </c>
    </row>
    <row r="1148" spans="1:1">
      <c r="A1148" s="26" t="s">
        <v>1557</v>
      </c>
    </row>
    <row r="1149" spans="1:1">
      <c r="A1149" s="26" t="s">
        <v>1558</v>
      </c>
    </row>
    <row r="1150" spans="1:1">
      <c r="A1150" s="26" t="s">
        <v>1559</v>
      </c>
    </row>
    <row r="1151" spans="1:1">
      <c r="A1151" s="26" t="s">
        <v>1560</v>
      </c>
    </row>
    <row r="1152" spans="1:1">
      <c r="A1152" s="26" t="s">
        <v>1561</v>
      </c>
    </row>
    <row r="1153" spans="1:1">
      <c r="A1153" s="26" t="s">
        <v>1562</v>
      </c>
    </row>
    <row r="1154" spans="1:1">
      <c r="A1154" s="26" t="s">
        <v>1563</v>
      </c>
    </row>
    <row r="1155" spans="1:1">
      <c r="A1155" s="26" t="s">
        <v>1564</v>
      </c>
    </row>
    <row r="1156" spans="1:1">
      <c r="A1156" s="26" t="s">
        <v>1565</v>
      </c>
    </row>
    <row r="1157" spans="1:1">
      <c r="A1157" s="26" t="s">
        <v>1566</v>
      </c>
    </row>
    <row r="1158" spans="1:1">
      <c r="A1158" s="26" t="s">
        <v>1567</v>
      </c>
    </row>
    <row r="1159" spans="1:1">
      <c r="A1159" s="26" t="s">
        <v>1568</v>
      </c>
    </row>
    <row r="1160" spans="1:1">
      <c r="A1160" s="26" t="s">
        <v>1569</v>
      </c>
    </row>
    <row r="1161" spans="1:1">
      <c r="A1161" s="26" t="s">
        <v>1570</v>
      </c>
    </row>
    <row r="1162" spans="1:1">
      <c r="A1162" s="26" t="s">
        <v>1571</v>
      </c>
    </row>
    <row r="1163" spans="1:1">
      <c r="A1163" s="26" t="s">
        <v>1572</v>
      </c>
    </row>
    <row r="1164" spans="1:1">
      <c r="A1164" s="26" t="s">
        <v>1573</v>
      </c>
    </row>
    <row r="1165" spans="1:1">
      <c r="A1165" s="26" t="s">
        <v>1574</v>
      </c>
    </row>
    <row r="1166" spans="1:1">
      <c r="A1166" s="26" t="s">
        <v>1575</v>
      </c>
    </row>
    <row r="1167" spans="1:1">
      <c r="A1167" s="26" t="s">
        <v>1576</v>
      </c>
    </row>
    <row r="1168" spans="1:1">
      <c r="A1168" s="26" t="s">
        <v>1577</v>
      </c>
    </row>
    <row r="1169" spans="1:1">
      <c r="A1169" s="26" t="s">
        <v>1578</v>
      </c>
    </row>
    <row r="1170" spans="1:1">
      <c r="A1170" s="26" t="s">
        <v>1579</v>
      </c>
    </row>
    <row r="1171" spans="1:1">
      <c r="A1171" s="26" t="s">
        <v>1580</v>
      </c>
    </row>
    <row r="1172" spans="1:1">
      <c r="A1172" s="26" t="s">
        <v>1581</v>
      </c>
    </row>
    <row r="1173" spans="1:1">
      <c r="A1173" s="26" t="s">
        <v>1582</v>
      </c>
    </row>
    <row r="1174" spans="1:1">
      <c r="A1174" s="26" t="s">
        <v>1583</v>
      </c>
    </row>
    <row r="1175" spans="1:1">
      <c r="A1175" s="26"/>
    </row>
    <row r="1176" spans="1:1">
      <c r="A1176" s="26"/>
    </row>
    <row r="1177" spans="1:1">
      <c r="A1177" s="26"/>
    </row>
    <row r="1178" spans="1:1">
      <c r="A1178" s="26"/>
    </row>
    <row r="1179" spans="1:1">
      <c r="A1179" s="26"/>
    </row>
    <row r="1180" spans="1:1">
      <c r="A1180" s="26"/>
    </row>
    <row r="1181" spans="1:1">
      <c r="A1181" s="26"/>
    </row>
    <row r="1182" spans="1:1">
      <c r="A1182" s="26"/>
    </row>
    <row r="1183" spans="1:1">
      <c r="A1183" s="26"/>
    </row>
    <row r="1184" spans="1:1">
      <c r="A1184" s="26"/>
    </row>
    <row r="1185" spans="1:1">
      <c r="A1185" s="26"/>
    </row>
    <row r="1186" spans="1:1">
      <c r="A1186" s="26"/>
    </row>
    <row r="1187" spans="1:1">
      <c r="A1187" s="26"/>
    </row>
    <row r="1188" spans="1:1">
      <c r="A1188" s="26"/>
    </row>
    <row r="1189" spans="1:1">
      <c r="A1189" s="26"/>
    </row>
    <row r="1190" spans="1:1">
      <c r="A1190" s="26"/>
    </row>
    <row r="1191" spans="1:1">
      <c r="A1191" s="26"/>
    </row>
    <row r="1192" spans="1:1">
      <c r="A1192" s="26"/>
    </row>
    <row r="1193" spans="1:1">
      <c r="A1193" s="26"/>
    </row>
    <row r="1194" spans="1:1">
      <c r="A1194" s="26"/>
    </row>
    <row r="1195" spans="1:1">
      <c r="A1195" s="26"/>
    </row>
    <row r="1196" spans="1:1">
      <c r="A1196" s="26"/>
    </row>
    <row r="1197" spans="1:1">
      <c r="A1197" s="26"/>
    </row>
    <row r="1198" spans="1:1">
      <c r="A1198" s="26"/>
    </row>
    <row r="1199" spans="1:1">
      <c r="A1199" s="26"/>
    </row>
    <row r="1200" spans="1:1">
      <c r="A1200" s="26"/>
    </row>
    <row r="1201" spans="1:1">
      <c r="A1201" s="26"/>
    </row>
    <row r="1202" spans="1:1">
      <c r="A1202" s="26"/>
    </row>
    <row r="1203" spans="1:1">
      <c r="A1203" s="26"/>
    </row>
    <row r="1204" spans="1:1">
      <c r="A1204" s="26"/>
    </row>
    <row r="1205" spans="1:1">
      <c r="A1205" s="26"/>
    </row>
    <row r="1206" spans="1:1">
      <c r="A1206" s="26"/>
    </row>
    <row r="1207" spans="1:1">
      <c r="A1207" s="26"/>
    </row>
    <row r="1208" spans="1:1">
      <c r="A1208" s="26"/>
    </row>
    <row r="1209" spans="1:1">
      <c r="A1209" s="26"/>
    </row>
    <row r="1210" spans="1:1">
      <c r="A1210" s="26"/>
    </row>
    <row r="1211" spans="1:1">
      <c r="A1211" s="26"/>
    </row>
    <row r="1212" spans="1:1">
      <c r="A1212" s="26"/>
    </row>
    <row r="1213" spans="1:1">
      <c r="A1213" s="26"/>
    </row>
    <row r="1214" spans="1:1">
      <c r="A1214" s="26"/>
    </row>
    <row r="1215" spans="1:1">
      <c r="A1215" s="26"/>
    </row>
    <row r="1216" spans="1:1">
      <c r="A1216" s="26"/>
    </row>
    <row r="1217" spans="1:1">
      <c r="A1217" s="26"/>
    </row>
    <row r="1218" spans="1:1">
      <c r="A1218" s="26"/>
    </row>
    <row r="1219" spans="1:1">
      <c r="A1219" s="26"/>
    </row>
    <row r="1220" spans="1:1">
      <c r="A1220" s="26"/>
    </row>
    <row r="1221" spans="1:1">
      <c r="A1221" s="26"/>
    </row>
    <row r="1222" spans="1:1">
      <c r="A1222" s="26"/>
    </row>
    <row r="1223" spans="1:1">
      <c r="A1223" s="26"/>
    </row>
    <row r="1224" spans="1:1">
      <c r="A1224" s="26"/>
    </row>
    <row r="1225" spans="1:1">
      <c r="A1225" s="26"/>
    </row>
    <row r="1226" spans="1:1">
      <c r="A1226" s="26"/>
    </row>
    <row r="1227" spans="1:1">
      <c r="A1227" s="26"/>
    </row>
    <row r="1228" spans="1:1">
      <c r="A1228" s="26"/>
    </row>
    <row r="1229" spans="1:1">
      <c r="A1229" s="26"/>
    </row>
    <row r="1230" spans="1:1">
      <c r="A1230" s="26"/>
    </row>
    <row r="1231" spans="1:1">
      <c r="A1231" s="26"/>
    </row>
    <row r="1232" spans="1:1">
      <c r="A1232" s="26"/>
    </row>
    <row r="1233" spans="1:1">
      <c r="A1233" s="26"/>
    </row>
    <row r="1234" spans="1:1">
      <c r="A1234" s="26"/>
    </row>
    <row r="1235" spans="1:1">
      <c r="A1235" s="26"/>
    </row>
    <row r="1236" spans="1:1">
      <c r="A1236" s="26"/>
    </row>
    <row r="1237" spans="1:1">
      <c r="A1237" s="26"/>
    </row>
    <row r="1238" spans="1:1">
      <c r="A1238" s="26"/>
    </row>
    <row r="1239" spans="1:1">
      <c r="A1239" s="26"/>
    </row>
    <row r="1240" spans="1:1">
      <c r="A1240" s="26"/>
    </row>
    <row r="1241" spans="1:1">
      <c r="A1241" s="26"/>
    </row>
    <row r="1242" spans="1:1">
      <c r="A1242" s="26"/>
    </row>
    <row r="1243" spans="1:1">
      <c r="A1243" s="26"/>
    </row>
    <row r="1244" spans="1:1">
      <c r="A1244" s="26"/>
    </row>
    <row r="1245" spans="1:1">
      <c r="A1245" s="26"/>
    </row>
    <row r="1246" spans="1:1">
      <c r="A1246" s="26"/>
    </row>
    <row r="1247" spans="1:1">
      <c r="A1247" s="26"/>
    </row>
    <row r="1248" spans="1:1">
      <c r="A1248" s="26"/>
    </row>
    <row r="1249" spans="1:1">
      <c r="A1249" s="26"/>
    </row>
    <row r="1250" spans="1:1">
      <c r="A1250" s="26"/>
    </row>
    <row r="1251" spans="1:1">
      <c r="A1251" s="26"/>
    </row>
    <row r="1252" spans="1:1">
      <c r="A1252" s="26"/>
    </row>
    <row r="1253" spans="1:1">
      <c r="A1253" s="26"/>
    </row>
    <row r="1254" spans="1:1">
      <c r="A1254" s="26"/>
    </row>
    <row r="1255" spans="1:1">
      <c r="A1255" s="26"/>
    </row>
    <row r="1256" spans="1:1">
      <c r="A1256" s="26"/>
    </row>
    <row r="1257" spans="1:1">
      <c r="A1257" s="26"/>
    </row>
    <row r="1258" spans="1:1">
      <c r="A1258" s="26"/>
    </row>
    <row r="1259" spans="1:1">
      <c r="A1259" s="26"/>
    </row>
    <row r="1260" spans="1:1">
      <c r="A1260" s="26"/>
    </row>
    <row r="1261" spans="1:1">
      <c r="A1261" s="26"/>
    </row>
    <row r="1262" spans="1:1">
      <c r="A1262" s="26"/>
    </row>
    <row r="1263" spans="1:1">
      <c r="A1263" s="26"/>
    </row>
    <row r="1264" spans="1:1">
      <c r="A1264" s="26"/>
    </row>
    <row r="1265" spans="1:1">
      <c r="A1265" s="26"/>
    </row>
    <row r="1266" spans="1:1">
      <c r="A1266" s="26"/>
    </row>
    <row r="1267" spans="1:1">
      <c r="A1267" s="26"/>
    </row>
    <row r="1268" spans="1:1">
      <c r="A1268" s="26"/>
    </row>
    <row r="1269" spans="1:1">
      <c r="A1269" s="26"/>
    </row>
    <row r="1270" spans="1:1">
      <c r="A1270" s="26"/>
    </row>
    <row r="1271" spans="1:1">
      <c r="A1271" s="26"/>
    </row>
    <row r="1272" spans="1:1">
      <c r="A1272" s="26"/>
    </row>
    <row r="1273" spans="1:1">
      <c r="A1273" s="26"/>
    </row>
    <row r="1274" spans="1:1">
      <c r="A1274" s="26"/>
    </row>
    <row r="1275" spans="1:1">
      <c r="A1275" s="26"/>
    </row>
    <row r="1276" spans="1:1">
      <c r="A1276" s="26"/>
    </row>
    <row r="1277" spans="1:1">
      <c r="A1277" s="26"/>
    </row>
    <row r="1278" spans="1:1">
      <c r="A1278" s="26"/>
    </row>
    <row r="1279" spans="1:1">
      <c r="A1279" s="26"/>
    </row>
    <row r="1280" spans="1:1">
      <c r="A1280" s="26"/>
    </row>
    <row r="1281" spans="1:1">
      <c r="A1281" s="26"/>
    </row>
    <row r="1282" spans="1:1">
      <c r="A1282" s="26"/>
    </row>
    <row r="1283" spans="1:1">
      <c r="A1283" s="26"/>
    </row>
    <row r="1284" spans="1:1">
      <c r="A1284" s="26"/>
    </row>
    <row r="1285" spans="1:1">
      <c r="A1285" s="26"/>
    </row>
    <row r="1286" spans="1:1">
      <c r="A1286" s="26"/>
    </row>
    <row r="1287" spans="1:1">
      <c r="A1287" s="26"/>
    </row>
    <row r="1288" spans="1:1">
      <c r="A1288" s="26"/>
    </row>
    <row r="1289" spans="1:1">
      <c r="A1289" s="26"/>
    </row>
    <row r="1290" spans="1:1">
      <c r="A1290" s="26"/>
    </row>
    <row r="1291" spans="1:1">
      <c r="A1291" s="26"/>
    </row>
    <row r="1292" spans="1:1">
      <c r="A1292" s="26"/>
    </row>
    <row r="1293" spans="1:1">
      <c r="A1293" s="26"/>
    </row>
    <row r="1294" spans="1:1">
      <c r="A1294" s="26"/>
    </row>
    <row r="1295" spans="1:1">
      <c r="A1295" s="26"/>
    </row>
    <row r="1296" spans="1:1">
      <c r="A1296" s="26"/>
    </row>
    <row r="1297" spans="1:1">
      <c r="A1297" s="26"/>
    </row>
    <row r="1298" spans="1:1">
      <c r="A1298" s="26"/>
    </row>
    <row r="1299" spans="1:1">
      <c r="A1299" s="26"/>
    </row>
    <row r="1300" spans="1:1">
      <c r="A1300" s="26"/>
    </row>
    <row r="1301" spans="1:1">
      <c r="A1301" s="26"/>
    </row>
    <row r="1302" spans="1:1">
      <c r="A1302" s="26"/>
    </row>
    <row r="1303" spans="1:1">
      <c r="A1303" s="26"/>
    </row>
    <row r="1304" spans="1:1">
      <c r="A1304" s="26"/>
    </row>
    <row r="1305" spans="1:1">
      <c r="A1305" s="26"/>
    </row>
    <row r="1306" spans="1:1">
      <c r="A1306" s="26"/>
    </row>
    <row r="1307" spans="1:1">
      <c r="A1307" s="26"/>
    </row>
    <row r="1308" spans="1:1">
      <c r="A1308" s="26"/>
    </row>
    <row r="1309" spans="1:1">
      <c r="A1309" s="26"/>
    </row>
    <row r="1310" spans="1:1">
      <c r="A1310" s="26"/>
    </row>
    <row r="1311" spans="1:1">
      <c r="A1311" s="26"/>
    </row>
    <row r="1312" spans="1:1">
      <c r="A1312" s="26"/>
    </row>
    <row r="1313" spans="1:1">
      <c r="A1313" s="26"/>
    </row>
    <row r="1314" spans="1:1">
      <c r="A1314" s="26"/>
    </row>
    <row r="1315" spans="1:1">
      <c r="A1315" s="26"/>
    </row>
    <row r="1316" spans="1:1">
      <c r="A1316" s="26"/>
    </row>
    <row r="1317" spans="1:1">
      <c r="A1317" s="26"/>
    </row>
    <row r="1318" spans="1:1">
      <c r="A1318" s="26"/>
    </row>
    <row r="1319" spans="1:1">
      <c r="A1319" s="26"/>
    </row>
    <row r="1320" spans="1:1">
      <c r="A1320" s="26"/>
    </row>
    <row r="1321" spans="1:1">
      <c r="A1321" s="26"/>
    </row>
    <row r="1322" spans="1:1">
      <c r="A1322" s="26"/>
    </row>
    <row r="1323" spans="1:1">
      <c r="A1323" s="26"/>
    </row>
    <row r="1324" spans="1:1">
      <c r="A1324" s="26"/>
    </row>
    <row r="1325" spans="1:1">
      <c r="A1325" s="26"/>
    </row>
    <row r="1326" spans="1:1">
      <c r="A1326" s="26"/>
    </row>
    <row r="1327" spans="1:1">
      <c r="A1327" s="26"/>
    </row>
    <row r="1328" spans="1:1">
      <c r="A1328" s="26"/>
    </row>
    <row r="1329" spans="1:1">
      <c r="A1329" s="26"/>
    </row>
    <row r="1330" spans="1:1">
      <c r="A1330" s="26"/>
    </row>
    <row r="1331" spans="1:1">
      <c r="A1331" s="26"/>
    </row>
    <row r="1332" spans="1:1">
      <c r="A1332" s="26"/>
    </row>
    <row r="1333" spans="1:1">
      <c r="A1333" s="26"/>
    </row>
    <row r="1334" spans="1:1">
      <c r="A1334" s="26"/>
    </row>
    <row r="1335" spans="1:1">
      <c r="A1335" s="26"/>
    </row>
    <row r="1336" spans="1:1">
      <c r="A1336" s="26"/>
    </row>
    <row r="1337" spans="1:1">
      <c r="A1337" s="26"/>
    </row>
    <row r="1338" spans="1:1">
      <c r="A1338" s="26"/>
    </row>
    <row r="1339" spans="1:1">
      <c r="A1339" s="26"/>
    </row>
    <row r="1340" spans="1:1">
      <c r="A1340" s="26"/>
    </row>
    <row r="1341" spans="1:1">
      <c r="A1341" s="26"/>
    </row>
    <row r="1342" spans="1:1">
      <c r="A1342" s="26"/>
    </row>
    <row r="1343" spans="1:1">
      <c r="A1343" s="26"/>
    </row>
    <row r="1344" spans="1:1">
      <c r="A1344" s="26"/>
    </row>
    <row r="1345" spans="1:1">
      <c r="A1345" s="26"/>
    </row>
    <row r="1346" spans="1:1">
      <c r="A1346" s="26"/>
    </row>
    <row r="1347" spans="1:1">
      <c r="A1347" s="26"/>
    </row>
    <row r="1348" spans="1:1">
      <c r="A1348" s="26"/>
    </row>
    <row r="1349" spans="1:1">
      <c r="A1349" s="26"/>
    </row>
    <row r="1350" spans="1:1">
      <c r="A1350" s="26"/>
    </row>
    <row r="1351" spans="1:1">
      <c r="A1351" s="26"/>
    </row>
    <row r="1352" spans="1:1">
      <c r="A1352" s="26"/>
    </row>
    <row r="1353" spans="1:1">
      <c r="A1353" s="26"/>
    </row>
    <row r="1354" spans="1:1">
      <c r="A1354" s="26"/>
    </row>
    <row r="1355" spans="1:1">
      <c r="A1355" s="26"/>
    </row>
    <row r="1356" spans="1:1">
      <c r="A1356" s="26"/>
    </row>
    <row r="1357" spans="1:1">
      <c r="A1357" s="26"/>
    </row>
    <row r="1358" spans="1:1">
      <c r="A1358" s="26"/>
    </row>
    <row r="1359" spans="1:1">
      <c r="A1359" s="26"/>
    </row>
    <row r="1360" spans="1:1">
      <c r="A1360" s="26"/>
    </row>
    <row r="1361" spans="1:1">
      <c r="A1361" s="26"/>
    </row>
    <row r="1362" spans="1:1">
      <c r="A1362" s="26"/>
    </row>
    <row r="1363" spans="1:1">
      <c r="A1363" s="26"/>
    </row>
    <row r="1364" spans="1:1">
      <c r="A1364" s="26"/>
    </row>
    <row r="1365" spans="1:1">
      <c r="A1365" s="26"/>
    </row>
    <row r="1366" spans="1:1">
      <c r="A1366" s="26"/>
    </row>
    <row r="1367" spans="1:1">
      <c r="A1367" s="26"/>
    </row>
    <row r="1368" spans="1:1">
      <c r="A1368" s="26"/>
    </row>
    <row r="1369" spans="1:1">
      <c r="A1369" s="26"/>
    </row>
    <row r="1370" spans="1:1">
      <c r="A1370" s="26"/>
    </row>
    <row r="1371" spans="1:1">
      <c r="A1371" s="26"/>
    </row>
    <row r="1372" spans="1:1">
      <c r="A1372" s="26"/>
    </row>
    <row r="1373" spans="1:1">
      <c r="A1373" s="26"/>
    </row>
    <row r="1374" spans="1:1">
      <c r="A1374" s="26"/>
    </row>
    <row r="1375" spans="1:1">
      <c r="A1375" s="26"/>
    </row>
    <row r="1376" spans="1:1">
      <c r="A1376" s="26"/>
    </row>
    <row r="1377" spans="1:1">
      <c r="A1377" s="26"/>
    </row>
    <row r="1378" spans="1:1">
      <c r="A1378" s="26"/>
    </row>
    <row r="1379" spans="1:1">
      <c r="A1379" s="26"/>
    </row>
    <row r="1380" spans="1:1">
      <c r="A1380" s="26"/>
    </row>
    <row r="1381" spans="1:1">
      <c r="A1381" s="26"/>
    </row>
    <row r="1382" spans="1:1">
      <c r="A1382" s="26"/>
    </row>
    <row r="1383" spans="1:1">
      <c r="A1383" s="26"/>
    </row>
    <row r="1384" spans="1:1">
      <c r="A1384" s="26"/>
    </row>
    <row r="1385" spans="1:1">
      <c r="A1385" s="26"/>
    </row>
    <row r="1386" spans="1:1">
      <c r="A1386" s="26"/>
    </row>
    <row r="1387" spans="1:1">
      <c r="A1387" s="26"/>
    </row>
    <row r="1388" spans="1:1">
      <c r="A1388" s="26"/>
    </row>
    <row r="1389" spans="1:1">
      <c r="A1389" s="26"/>
    </row>
    <row r="1390" spans="1:1">
      <c r="A1390" s="26"/>
    </row>
    <row r="1391" spans="1:1">
      <c r="A1391" s="26"/>
    </row>
    <row r="1392" spans="1:1">
      <c r="A1392" s="26"/>
    </row>
    <row r="1393" spans="1:1">
      <c r="A1393" s="26"/>
    </row>
    <row r="1394" spans="1:1">
      <c r="A1394" s="26"/>
    </row>
    <row r="1395" spans="1:1">
      <c r="A1395" s="26"/>
    </row>
    <row r="1396" spans="1:1">
      <c r="A1396" s="26"/>
    </row>
    <row r="1397" spans="1:1">
      <c r="A1397" s="26"/>
    </row>
    <row r="1398" spans="1:1">
      <c r="A1398" s="26"/>
    </row>
    <row r="1399" spans="1:1">
      <c r="A1399" s="26"/>
    </row>
    <row r="1400" spans="1:1">
      <c r="A1400" s="26"/>
    </row>
    <row r="1401" spans="1:1">
      <c r="A1401" s="26"/>
    </row>
    <row r="1402" spans="1:1">
      <c r="A1402" s="26"/>
    </row>
    <row r="1403" spans="1:1">
      <c r="A1403" s="26"/>
    </row>
    <row r="1404" spans="1:1">
      <c r="A1404" s="26"/>
    </row>
    <row r="1405" spans="1:1">
      <c r="A1405" s="26"/>
    </row>
    <row r="1406" spans="1:1">
      <c r="A1406" s="26"/>
    </row>
    <row r="1407" spans="1:1">
      <c r="A1407" s="26"/>
    </row>
    <row r="1408" spans="1:1">
      <c r="A1408" s="26"/>
    </row>
    <row r="1409" spans="1:1">
      <c r="A1409" s="26"/>
    </row>
    <row r="1410" spans="1:1">
      <c r="A1410" s="26"/>
    </row>
    <row r="1411" spans="1:1">
      <c r="A1411" s="26"/>
    </row>
    <row r="1412" spans="1:1">
      <c r="A1412" s="26"/>
    </row>
    <row r="1413" spans="1:1">
      <c r="A1413" s="26"/>
    </row>
    <row r="1414" spans="1:1">
      <c r="A1414" s="26"/>
    </row>
    <row r="1415" spans="1:1">
      <c r="A1415" s="26"/>
    </row>
    <row r="1416" spans="1:1">
      <c r="A1416" s="26"/>
    </row>
    <row r="1417" spans="1:1">
      <c r="A1417" s="26"/>
    </row>
    <row r="1418" spans="1:1">
      <c r="A1418" s="26"/>
    </row>
    <row r="1419" spans="1:1">
      <c r="A1419" s="26"/>
    </row>
    <row r="1420" spans="1:1">
      <c r="A1420" s="26"/>
    </row>
    <row r="1421" spans="1:1">
      <c r="A1421" s="26"/>
    </row>
    <row r="1422" spans="1:1">
      <c r="A1422" s="26"/>
    </row>
    <row r="1423" spans="1:1">
      <c r="A1423" s="26"/>
    </row>
    <row r="1424" spans="1:1">
      <c r="A1424" s="26"/>
    </row>
    <row r="1425" spans="1:1">
      <c r="A1425" s="26"/>
    </row>
    <row r="1426" spans="1:1">
      <c r="A1426" s="26"/>
    </row>
    <row r="1427" spans="1:1">
      <c r="A1427" s="26"/>
    </row>
    <row r="1428" spans="1:1">
      <c r="A1428" s="26"/>
    </row>
    <row r="1429" spans="1:1">
      <c r="A1429" s="26"/>
    </row>
    <row r="1430" spans="1:1">
      <c r="A1430" s="26"/>
    </row>
    <row r="1431" spans="1:1">
      <c r="A1431" s="26"/>
    </row>
    <row r="1432" spans="1:1">
      <c r="A1432" s="26"/>
    </row>
    <row r="1433" spans="1:1">
      <c r="A1433" s="26"/>
    </row>
    <row r="1434" spans="1:1">
      <c r="A1434" s="26"/>
    </row>
    <row r="1435" spans="1:1">
      <c r="A1435" s="26"/>
    </row>
    <row r="1436" spans="1:1">
      <c r="A1436" s="26"/>
    </row>
    <row r="1437" spans="1:1">
      <c r="A1437" s="26"/>
    </row>
    <row r="1438" spans="1:1">
      <c r="A1438" s="26"/>
    </row>
    <row r="1439" spans="1:1">
      <c r="A1439" s="26"/>
    </row>
    <row r="1440" spans="1:1">
      <c r="A1440" s="26"/>
    </row>
    <row r="1441" spans="1:1">
      <c r="A1441" s="26"/>
    </row>
    <row r="1442" spans="1:1">
      <c r="A1442" s="26"/>
    </row>
    <row r="1443" spans="1:1">
      <c r="A1443" s="26"/>
    </row>
    <row r="1444" spans="1:1">
      <c r="A1444" s="26"/>
    </row>
    <row r="1445" spans="1:1">
      <c r="A1445" s="26"/>
    </row>
    <row r="1446" spans="1:1">
      <c r="A1446" s="26"/>
    </row>
    <row r="1447" spans="1:1">
      <c r="A1447" s="26"/>
    </row>
    <row r="1448" spans="1:1">
      <c r="A1448" s="26"/>
    </row>
    <row r="1449" spans="1:1">
      <c r="A1449" s="26"/>
    </row>
    <row r="1450" spans="1:1">
      <c r="A1450" s="26"/>
    </row>
    <row r="1451" spans="1:1">
      <c r="A1451" s="26"/>
    </row>
    <row r="1452" spans="1:1">
      <c r="A1452" s="26"/>
    </row>
    <row r="1453" spans="1:1">
      <c r="A1453" s="26"/>
    </row>
  </sheetData>
  <sortState xmlns:xlrd2="http://schemas.microsoft.com/office/spreadsheetml/2017/richdata2" ref="A1:A1455">
    <sortCondition ref="A1:A1455"/>
  </sortState>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A228F-3960-4C93-A9B2-4B2B2F0E56EF}">
  <dimension ref="A1:F71"/>
  <sheetViews>
    <sheetView workbookViewId="0">
      <selection activeCell="D11" sqref="D11"/>
    </sheetView>
  </sheetViews>
  <sheetFormatPr defaultRowHeight="14.45"/>
  <cols>
    <col min="1" max="1" width="29.7109375" bestFit="1" customWidth="1"/>
    <col min="2" max="3" width="9.42578125" bestFit="1" customWidth="1"/>
    <col min="5" max="5" width="15.42578125" customWidth="1"/>
    <col min="6" max="6" width="19.5703125" bestFit="1" customWidth="1"/>
  </cols>
  <sheetData>
    <row r="1" spans="1:6">
      <c r="A1" s="14" t="s">
        <v>32</v>
      </c>
      <c r="B1" s="14" t="s">
        <v>1584</v>
      </c>
      <c r="C1" s="14" t="s">
        <v>1585</v>
      </c>
      <c r="D1" s="14" t="s">
        <v>1586</v>
      </c>
      <c r="E1" s="14" t="s">
        <v>1587</v>
      </c>
      <c r="F1" s="14" t="s">
        <v>1588</v>
      </c>
    </row>
    <row r="2" spans="1:6">
      <c r="A2" s="11" t="s">
        <v>1589</v>
      </c>
      <c r="B2" s="116">
        <v>186.80287222384032</v>
      </c>
      <c r="C2" s="116">
        <v>300</v>
      </c>
      <c r="D2" s="11" t="s">
        <v>1590</v>
      </c>
      <c r="E2" s="11" t="s">
        <v>1591</v>
      </c>
      <c r="F2" s="11" t="s">
        <v>1592</v>
      </c>
    </row>
    <row r="3" spans="1:6">
      <c r="A3" s="11" t="s">
        <v>1593</v>
      </c>
      <c r="B3" s="116">
        <v>188.45796216218508</v>
      </c>
      <c r="C3" s="116">
        <v>330</v>
      </c>
      <c r="D3" s="11" t="s">
        <v>1590</v>
      </c>
      <c r="E3" s="11" t="s">
        <v>1591</v>
      </c>
      <c r="F3" s="11" t="s">
        <v>1592</v>
      </c>
    </row>
    <row r="4" spans="1:6">
      <c r="A4" s="11" t="s">
        <v>129</v>
      </c>
      <c r="B4" s="116">
        <v>360.62809483721668</v>
      </c>
      <c r="C4" s="116">
        <v>400</v>
      </c>
      <c r="D4" s="11" t="s">
        <v>1590</v>
      </c>
      <c r="E4" s="11" t="s">
        <v>1591</v>
      </c>
      <c r="F4" s="11" t="s">
        <v>1592</v>
      </c>
    </row>
    <row r="5" spans="1:6">
      <c r="A5" s="11" t="s">
        <v>93</v>
      </c>
      <c r="B5" s="116">
        <v>458.18416942066216</v>
      </c>
      <c r="C5" s="116">
        <v>460</v>
      </c>
      <c r="D5" s="11" t="s">
        <v>1590</v>
      </c>
      <c r="E5" s="11" t="s">
        <v>1591</v>
      </c>
      <c r="F5" s="11" t="s">
        <v>1592</v>
      </c>
    </row>
    <row r="6" spans="1:6">
      <c r="A6" s="11" t="s">
        <v>401</v>
      </c>
      <c r="B6" s="116">
        <v>404.15451989298754</v>
      </c>
      <c r="C6" s="116">
        <v>405</v>
      </c>
      <c r="D6" s="11" t="s">
        <v>1590</v>
      </c>
      <c r="E6" s="11" t="s">
        <v>1591</v>
      </c>
      <c r="F6" s="11" t="s">
        <v>1592</v>
      </c>
    </row>
    <row r="7" spans="1:6">
      <c r="A7" s="11" t="s">
        <v>102</v>
      </c>
      <c r="B7" s="116">
        <v>53.886669260251011</v>
      </c>
      <c r="C7" s="116">
        <v>90</v>
      </c>
      <c r="D7" s="11" t="s">
        <v>1590</v>
      </c>
      <c r="E7" s="11" t="s">
        <v>1591</v>
      </c>
      <c r="F7" s="11" t="s">
        <v>1592</v>
      </c>
    </row>
    <row r="8" spans="1:6">
      <c r="A8" s="11" t="s">
        <v>1594</v>
      </c>
      <c r="B8" s="116">
        <v>233.32872059847361</v>
      </c>
      <c r="C8" s="116">
        <v>365</v>
      </c>
      <c r="D8" s="11" t="s">
        <v>1590</v>
      </c>
      <c r="E8" s="11" t="s">
        <v>1591</v>
      </c>
      <c r="F8" s="11" t="s">
        <v>1592</v>
      </c>
    </row>
    <row r="9" spans="1:6">
      <c r="A9" s="11" t="s">
        <v>1595</v>
      </c>
      <c r="B9" s="116">
        <v>404.15451989298754</v>
      </c>
      <c r="C9" s="116">
        <v>490</v>
      </c>
      <c r="D9" s="11" t="s">
        <v>1590</v>
      </c>
      <c r="E9" s="11" t="s">
        <v>1591</v>
      </c>
      <c r="F9" s="11" t="s">
        <v>1592</v>
      </c>
    </row>
    <row r="10" spans="1:6">
      <c r="A10" s="11" t="s">
        <v>1596</v>
      </c>
      <c r="B10" s="116">
        <v>258.36678981661271</v>
      </c>
      <c r="C10" s="116">
        <v>370</v>
      </c>
      <c r="D10" s="11" t="s">
        <v>1590</v>
      </c>
      <c r="E10" s="11" t="s">
        <v>1591</v>
      </c>
      <c r="F10" s="11" t="s">
        <v>1592</v>
      </c>
    </row>
    <row r="11" spans="1:6">
      <c r="A11" s="11" t="s">
        <v>1597</v>
      </c>
      <c r="B11" s="116">
        <v>549.37792207792211</v>
      </c>
      <c r="C11" s="116">
        <v>749.99999999999989</v>
      </c>
      <c r="D11" s="11" t="s">
        <v>1590</v>
      </c>
      <c r="E11" s="11" t="s">
        <v>1591</v>
      </c>
      <c r="F11" s="11" t="s">
        <v>1592</v>
      </c>
    </row>
    <row r="12" spans="1:6">
      <c r="A12" s="11" t="s">
        <v>125</v>
      </c>
      <c r="B12" s="116">
        <v>367.310874209757</v>
      </c>
      <c r="C12" s="116">
        <v>500</v>
      </c>
      <c r="D12" s="11" t="s">
        <v>1590</v>
      </c>
      <c r="E12" s="11" t="s">
        <v>1591</v>
      </c>
      <c r="F12" s="11" t="s">
        <v>1592</v>
      </c>
    </row>
    <row r="13" spans="1:6">
      <c r="A13" s="11" t="s">
        <v>1598</v>
      </c>
      <c r="B13" s="116">
        <v>385.53356733356731</v>
      </c>
      <c r="C13" s="116">
        <v>500</v>
      </c>
      <c r="D13" s="11" t="s">
        <v>1590</v>
      </c>
      <c r="E13" s="11" t="s">
        <v>1591</v>
      </c>
      <c r="F13" s="11" t="s">
        <v>1592</v>
      </c>
    </row>
    <row r="14" spans="1:6">
      <c r="A14" s="11" t="s">
        <v>1599</v>
      </c>
      <c r="B14" s="116">
        <v>403.19553059553061</v>
      </c>
      <c r="C14" s="116">
        <v>525</v>
      </c>
      <c r="D14" s="11" t="s">
        <v>1590</v>
      </c>
      <c r="E14" s="11" t="s">
        <v>1591</v>
      </c>
      <c r="F14" s="11" t="s">
        <v>1592</v>
      </c>
    </row>
    <row r="15" spans="1:6">
      <c r="A15" s="11" t="s">
        <v>95</v>
      </c>
      <c r="B15" s="116">
        <v>461.18446661311594</v>
      </c>
      <c r="C15" s="116">
        <v>500</v>
      </c>
      <c r="D15" s="11" t="s">
        <v>1590</v>
      </c>
      <c r="E15" s="11" t="s">
        <v>1591</v>
      </c>
      <c r="F15" s="11" t="s">
        <v>1592</v>
      </c>
    </row>
    <row r="16" spans="1:6">
      <c r="A16" s="11" t="s">
        <v>1600</v>
      </c>
      <c r="B16" s="116">
        <v>303.97091360728302</v>
      </c>
      <c r="C16" s="116">
        <v>425</v>
      </c>
      <c r="D16" s="11" t="s">
        <v>1590</v>
      </c>
      <c r="E16" s="11" t="s">
        <v>1591</v>
      </c>
      <c r="F16" s="11" t="s">
        <v>1592</v>
      </c>
    </row>
    <row r="17" spans="1:6">
      <c r="A17" s="11" t="s">
        <v>378</v>
      </c>
      <c r="B17" s="116">
        <v>186.32542014744098</v>
      </c>
      <c r="C17" s="116">
        <v>305</v>
      </c>
      <c r="D17" s="11" t="s">
        <v>1590</v>
      </c>
      <c r="E17" s="11" t="s">
        <v>1591</v>
      </c>
      <c r="F17" s="11" t="s">
        <v>1592</v>
      </c>
    </row>
    <row r="18" spans="1:6">
      <c r="A18" s="11" t="s">
        <v>150</v>
      </c>
      <c r="B18" s="116">
        <v>404.15451989298754</v>
      </c>
      <c r="C18" s="116">
        <v>445</v>
      </c>
      <c r="D18" s="11" t="s">
        <v>1590</v>
      </c>
      <c r="E18" s="11" t="s">
        <v>1591</v>
      </c>
      <c r="F18" s="11" t="s">
        <v>1592</v>
      </c>
    </row>
    <row r="19" spans="1:6">
      <c r="A19" s="11" t="s">
        <v>119</v>
      </c>
      <c r="B19" s="116">
        <v>256.15021150776352</v>
      </c>
      <c r="C19" s="116">
        <v>400</v>
      </c>
      <c r="D19" s="11" t="s">
        <v>1590</v>
      </c>
      <c r="E19" s="11" t="s">
        <v>1591</v>
      </c>
      <c r="F19" s="11" t="s">
        <v>1592</v>
      </c>
    </row>
    <row r="20" spans="1:6">
      <c r="A20" s="11" t="s">
        <v>112</v>
      </c>
      <c r="B20" s="116">
        <v>256.15021150776352</v>
      </c>
      <c r="C20" s="116">
        <v>365</v>
      </c>
      <c r="D20" s="11" t="s">
        <v>1590</v>
      </c>
      <c r="E20" s="11" t="s">
        <v>1591</v>
      </c>
      <c r="F20" s="11" t="s">
        <v>1592</v>
      </c>
    </row>
    <row r="21" spans="1:6">
      <c r="A21" s="11" t="s">
        <v>1601</v>
      </c>
      <c r="B21" s="116">
        <v>267.70346879827395</v>
      </c>
      <c r="C21" s="116">
        <v>380</v>
      </c>
      <c r="D21" s="11" t="s">
        <v>1590</v>
      </c>
      <c r="E21" s="11" t="s">
        <v>1591</v>
      </c>
      <c r="F21" s="11" t="s">
        <v>1592</v>
      </c>
    </row>
    <row r="22" spans="1:6">
      <c r="A22" s="11" t="s">
        <v>108</v>
      </c>
      <c r="B22" s="116">
        <v>404.15451989298759</v>
      </c>
      <c r="C22" s="116">
        <v>490</v>
      </c>
      <c r="D22" s="11" t="s">
        <v>1590</v>
      </c>
      <c r="E22" s="11" t="s">
        <v>1591</v>
      </c>
      <c r="F22" s="11" t="s">
        <v>1592</v>
      </c>
    </row>
    <row r="23" spans="1:6">
      <c r="A23" s="11" t="s">
        <v>99</v>
      </c>
      <c r="B23" s="116">
        <v>258.36678981661271</v>
      </c>
      <c r="C23" s="116">
        <v>370</v>
      </c>
      <c r="D23" s="11" t="s">
        <v>1590</v>
      </c>
      <c r="E23" s="11" t="s">
        <v>1591</v>
      </c>
      <c r="F23" s="11" t="s">
        <v>1592</v>
      </c>
    </row>
    <row r="24" spans="1:6">
      <c r="A24" s="11" t="s">
        <v>1602</v>
      </c>
      <c r="B24" s="116">
        <v>295.58400998400998</v>
      </c>
      <c r="C24" s="116">
        <v>400</v>
      </c>
      <c r="D24" s="11" t="s">
        <v>1590</v>
      </c>
      <c r="E24" s="11" t="s">
        <v>1591</v>
      </c>
      <c r="F24" s="11" t="s">
        <v>1592</v>
      </c>
    </row>
    <row r="25" spans="1:6">
      <c r="A25" s="11" t="s">
        <v>1603</v>
      </c>
      <c r="B25" s="116">
        <v>386.82623922623924</v>
      </c>
      <c r="C25" s="116">
        <v>525</v>
      </c>
      <c r="D25" s="11" t="s">
        <v>1590</v>
      </c>
      <c r="E25" s="11" t="s">
        <v>1591</v>
      </c>
      <c r="F25" s="11" t="s">
        <v>1592</v>
      </c>
    </row>
    <row r="26" spans="1:6">
      <c r="A26" s="11" t="s">
        <v>1604</v>
      </c>
      <c r="B26" s="116">
        <v>328.48005928005927</v>
      </c>
      <c r="C26" s="116">
        <v>425</v>
      </c>
      <c r="D26" s="11" t="s">
        <v>1590</v>
      </c>
      <c r="E26" s="11" t="s">
        <v>1591</v>
      </c>
      <c r="F26" s="11" t="s">
        <v>1592</v>
      </c>
    </row>
    <row r="27" spans="1:6">
      <c r="A27" s="11"/>
      <c r="B27" s="12"/>
      <c r="C27" s="12"/>
      <c r="D27" s="11"/>
      <c r="E27" s="11"/>
      <c r="F27" s="11"/>
    </row>
    <row r="28" spans="1:6">
      <c r="A28" s="11"/>
      <c r="B28" s="12"/>
      <c r="C28" s="13"/>
      <c r="D28" s="11"/>
      <c r="E28" s="11"/>
      <c r="F28" s="11"/>
    </row>
    <row r="29" spans="1:6">
      <c r="A29" s="11"/>
      <c r="B29" s="12"/>
      <c r="C29" s="12"/>
      <c r="D29" s="11"/>
      <c r="E29" s="11"/>
      <c r="F29" s="11"/>
    </row>
    <row r="30" spans="1:6">
      <c r="A30" s="11"/>
      <c r="B30" s="12"/>
      <c r="C30" s="12"/>
      <c r="D30" s="11"/>
      <c r="E30" s="11"/>
      <c r="F30" s="11"/>
    </row>
    <row r="31" spans="1:6">
      <c r="A31" s="11"/>
      <c r="B31" s="12"/>
      <c r="C31" s="12"/>
      <c r="D31" s="11"/>
      <c r="E31" s="11"/>
      <c r="F31" s="11"/>
    </row>
    <row r="32" spans="1:6">
      <c r="A32" s="11"/>
      <c r="B32" s="12"/>
      <c r="C32" s="12"/>
      <c r="D32" s="11"/>
      <c r="E32" s="11"/>
      <c r="F32" s="11"/>
    </row>
    <row r="33" spans="1:6">
      <c r="A33" s="11"/>
      <c r="B33" s="12"/>
      <c r="C33" s="12"/>
      <c r="D33" s="11"/>
      <c r="E33" s="11"/>
      <c r="F33" s="11"/>
    </row>
    <row r="34" spans="1:6">
      <c r="A34" s="11"/>
      <c r="B34" s="12"/>
      <c r="C34" s="12"/>
      <c r="D34" s="11"/>
      <c r="E34" s="11"/>
      <c r="F34" s="11"/>
    </row>
    <row r="35" spans="1:6">
      <c r="A35" s="11"/>
      <c r="B35" s="12"/>
      <c r="C35" s="12"/>
      <c r="D35" s="11"/>
      <c r="E35" s="11"/>
      <c r="F35" s="11"/>
    </row>
    <row r="36" spans="1:6">
      <c r="A36" s="11"/>
      <c r="B36" s="12"/>
      <c r="C36" s="12"/>
      <c r="D36" s="11"/>
      <c r="E36" s="11"/>
      <c r="F36" s="11"/>
    </row>
    <row r="37" spans="1:6">
      <c r="A37" s="11"/>
      <c r="B37" s="12"/>
      <c r="C37" s="12"/>
      <c r="D37" s="11"/>
      <c r="E37" s="11"/>
      <c r="F37" s="11"/>
    </row>
    <row r="38" spans="1:6">
      <c r="A38" s="11"/>
      <c r="B38" s="12"/>
      <c r="C38" s="12"/>
      <c r="D38" s="11"/>
      <c r="E38" s="11"/>
      <c r="F38" s="11"/>
    </row>
    <row r="39" spans="1:6">
      <c r="A39" s="11"/>
      <c r="B39" s="12"/>
      <c r="C39" s="12"/>
      <c r="D39" s="11"/>
      <c r="E39" s="11"/>
      <c r="F39" s="11"/>
    </row>
    <row r="40" spans="1:6">
      <c r="A40" s="11"/>
      <c r="B40" s="12"/>
      <c r="C40" s="12"/>
      <c r="D40" s="11"/>
      <c r="E40" s="11"/>
      <c r="F40" s="11"/>
    </row>
    <row r="41" spans="1:6">
      <c r="A41" s="11"/>
      <c r="B41" s="12"/>
      <c r="C41" s="12"/>
      <c r="D41" s="11"/>
      <c r="E41" s="11"/>
      <c r="F41" s="11"/>
    </row>
    <row r="42" spans="1:6">
      <c r="A42" s="11"/>
      <c r="B42" s="12"/>
      <c r="C42" s="12"/>
      <c r="D42" s="11"/>
      <c r="E42" s="11"/>
      <c r="F42" s="11"/>
    </row>
    <row r="43" spans="1:6">
      <c r="A43" s="11"/>
      <c r="B43" s="12"/>
      <c r="C43" s="12"/>
      <c r="D43" s="11"/>
      <c r="E43" s="11"/>
      <c r="F43" s="11"/>
    </row>
    <row r="44" spans="1:6">
      <c r="A44" s="11"/>
      <c r="B44" s="12"/>
      <c r="C44" s="12"/>
      <c r="D44" s="11"/>
      <c r="E44" s="11"/>
      <c r="F44" s="11"/>
    </row>
    <row r="45" spans="1:6">
      <c r="A45" s="11"/>
      <c r="B45" s="12"/>
      <c r="C45" s="12"/>
      <c r="D45" s="11"/>
      <c r="E45" s="11"/>
      <c r="F45" s="11"/>
    </row>
    <row r="46" spans="1:6">
      <c r="A46" s="11"/>
      <c r="B46" s="12"/>
      <c r="C46" s="12"/>
      <c r="D46" s="11"/>
      <c r="E46" s="11"/>
      <c r="F46" s="11"/>
    </row>
    <row r="47" spans="1:6">
      <c r="A47" s="11"/>
      <c r="B47" s="12"/>
      <c r="C47" s="12"/>
      <c r="D47" s="11"/>
      <c r="E47" s="11"/>
      <c r="F47" s="11"/>
    </row>
    <row r="48" spans="1:6">
      <c r="A48" s="11"/>
      <c r="B48" s="12"/>
      <c r="C48" s="12"/>
      <c r="D48" s="11"/>
      <c r="E48" s="11"/>
      <c r="F48" s="11"/>
    </row>
    <row r="49" spans="1:6">
      <c r="A49" s="11"/>
      <c r="B49" s="12"/>
      <c r="C49" s="12"/>
      <c r="D49" s="11"/>
      <c r="E49" s="11"/>
      <c r="F49" s="11"/>
    </row>
    <row r="50" spans="1:6">
      <c r="A50" s="11"/>
      <c r="B50" s="12"/>
      <c r="C50" s="12"/>
      <c r="D50" s="11"/>
      <c r="E50" s="11"/>
      <c r="F50" s="11"/>
    </row>
    <row r="51" spans="1:6">
      <c r="A51" s="11"/>
      <c r="B51" s="12"/>
      <c r="C51" s="12"/>
      <c r="D51" s="11"/>
      <c r="E51" s="11"/>
      <c r="F51" s="11"/>
    </row>
    <row r="52" spans="1:6">
      <c r="A52" s="11"/>
      <c r="B52" s="12"/>
      <c r="C52" s="12"/>
      <c r="D52" s="11"/>
      <c r="E52" s="11"/>
      <c r="F52" s="11"/>
    </row>
    <row r="53" spans="1:6">
      <c r="A53" s="11"/>
      <c r="B53" s="12"/>
      <c r="C53" s="12"/>
      <c r="D53" s="11"/>
      <c r="E53" s="11"/>
      <c r="F53" s="11"/>
    </row>
    <row r="54" spans="1:6">
      <c r="A54" s="11"/>
      <c r="B54" s="12"/>
      <c r="C54" s="12"/>
      <c r="D54" s="11"/>
      <c r="E54" s="11"/>
      <c r="F54" s="11"/>
    </row>
    <row r="55" spans="1:6">
      <c r="A55" s="11"/>
      <c r="B55" s="12"/>
      <c r="C55" s="12"/>
      <c r="D55" s="11"/>
      <c r="E55" s="11"/>
      <c r="F55" s="11"/>
    </row>
    <row r="56" spans="1:6">
      <c r="A56" s="11"/>
      <c r="B56" s="12"/>
      <c r="C56" s="12"/>
      <c r="D56" s="11"/>
      <c r="E56" s="11"/>
      <c r="F56" s="11"/>
    </row>
    <row r="57" spans="1:6">
      <c r="A57" s="11"/>
      <c r="B57" s="12"/>
      <c r="C57" s="12"/>
      <c r="D57" s="11"/>
      <c r="E57" s="11"/>
      <c r="F57" s="11"/>
    </row>
    <row r="58" spans="1:6">
      <c r="A58" s="11"/>
      <c r="B58" s="12"/>
      <c r="C58" s="12"/>
      <c r="D58" s="11"/>
      <c r="E58" s="11"/>
      <c r="F58" s="11"/>
    </row>
    <row r="59" spans="1:6">
      <c r="A59" s="11"/>
      <c r="B59" s="12"/>
      <c r="C59" s="12"/>
      <c r="D59" s="11"/>
      <c r="E59" s="11"/>
      <c r="F59" s="11"/>
    </row>
    <row r="60" spans="1:6">
      <c r="A60" s="11"/>
      <c r="B60" s="12"/>
      <c r="C60" s="12"/>
      <c r="D60" s="11"/>
      <c r="E60" s="11"/>
      <c r="F60" s="11"/>
    </row>
    <row r="61" spans="1:6">
      <c r="A61" s="11"/>
      <c r="B61" s="12"/>
      <c r="C61" s="12"/>
      <c r="D61" s="11"/>
      <c r="E61" s="11"/>
      <c r="F61" s="11"/>
    </row>
    <row r="62" spans="1:6">
      <c r="A62" s="11"/>
      <c r="B62" s="12"/>
      <c r="C62" s="12"/>
      <c r="D62" s="11"/>
      <c r="E62" s="11"/>
      <c r="F62" s="11"/>
    </row>
    <row r="63" spans="1:6">
      <c r="A63" s="11"/>
      <c r="B63" s="12"/>
      <c r="C63" s="12"/>
      <c r="D63" s="11"/>
      <c r="E63" s="11"/>
      <c r="F63" s="11"/>
    </row>
    <row r="64" spans="1:6">
      <c r="A64" s="11"/>
      <c r="B64" s="12"/>
      <c r="C64" s="12"/>
      <c r="D64" s="11"/>
      <c r="E64" s="11"/>
      <c r="F64" s="11"/>
    </row>
    <row r="65" spans="1:6">
      <c r="A65" s="11"/>
      <c r="B65" s="12"/>
      <c r="C65" s="12"/>
      <c r="D65" s="11"/>
      <c r="E65" s="11"/>
      <c r="F65" s="11"/>
    </row>
    <row r="66" spans="1:6">
      <c r="A66" s="11"/>
      <c r="B66" s="12"/>
      <c r="C66" s="12"/>
      <c r="D66" s="11"/>
      <c r="E66" s="11"/>
      <c r="F66" s="11"/>
    </row>
    <row r="67" spans="1:6">
      <c r="A67" s="11"/>
      <c r="B67" s="12"/>
      <c r="C67" s="12"/>
      <c r="D67" s="11"/>
      <c r="E67" s="11"/>
      <c r="F67" s="11"/>
    </row>
    <row r="68" spans="1:6">
      <c r="A68" s="11"/>
      <c r="B68" s="12"/>
      <c r="C68" s="12"/>
      <c r="D68" s="11"/>
      <c r="E68" s="11"/>
      <c r="F68" s="11"/>
    </row>
    <row r="69" spans="1:6">
      <c r="A69" s="11"/>
      <c r="B69" s="12"/>
      <c r="C69" s="12"/>
      <c r="D69" s="11"/>
      <c r="E69" s="11"/>
      <c r="F69" s="11"/>
    </row>
    <row r="70" spans="1:6">
      <c r="A70" s="11"/>
      <c r="B70" s="12"/>
      <c r="C70" s="12"/>
      <c r="D70" s="11"/>
      <c r="E70" s="11"/>
      <c r="F70" s="11"/>
    </row>
    <row r="71" spans="1:6">
      <c r="A71" s="11"/>
      <c r="B71" s="12"/>
      <c r="C71" s="12"/>
      <c r="D71" s="11"/>
      <c r="E71" s="11"/>
      <c r="F71" s="11"/>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4738-FB4A-4162-A33D-35E89B673905}">
  <dimension ref="A1:K31"/>
  <sheetViews>
    <sheetView workbookViewId="0">
      <selection activeCell="F37" sqref="F37"/>
    </sheetView>
  </sheetViews>
  <sheetFormatPr defaultRowHeight="14.45"/>
  <cols>
    <col min="1" max="1" width="27.42578125" bestFit="1" customWidth="1"/>
    <col min="6" max="6" width="21.5703125" bestFit="1" customWidth="1"/>
    <col min="7" max="7" width="22.5703125" bestFit="1" customWidth="1"/>
    <col min="8" max="8" width="16.140625" bestFit="1" customWidth="1"/>
    <col min="9" max="11" width="10.140625" bestFit="1" customWidth="1"/>
  </cols>
  <sheetData>
    <row r="1" spans="1:11">
      <c r="A1" t="str" cm="1">
        <f t="array" ref="A1:A31">_xlfn._xlws.FILTER('Staffing Plan'!D20:D69,'Staffing Plan'!D20:D69 &lt;&gt; "")</f>
        <v>Delivery Management Executive</v>
      </c>
      <c r="B1" t="str" cm="1">
        <f t="array" ref="B1">TRANSPOSE(A1&amp;_xlfn.SEQUENCE(COUNTIF('Staffing Plan'!$D$20:$D$69,A1)))</f>
        <v>Delivery Management Executive1</v>
      </c>
    </row>
    <row r="2" spans="1:11">
      <c r="A2" t="str">
        <v>Program Architect</v>
      </c>
      <c r="B2" t="str" cm="1">
        <f t="array" ref="B2">TRANSPOSE(A2&amp;_xlfn.SEQUENCE(COUNTIF('Staffing Plan'!$D$20:$D$69,A2)))</f>
        <v>Program Architect1</v>
      </c>
    </row>
    <row r="3" spans="1:11">
      <c r="A3" t="str">
        <v>Senior Project Manager</v>
      </c>
      <c r="B3" t="str" cm="1">
        <f t="array" ref="B3">TRANSPOSE(A3&amp;_xlfn.SEQUENCE(COUNTIF('Staffing Plan'!$D$20:$D$69,A3)))</f>
        <v>Senior Project Manager1</v>
      </c>
    </row>
    <row r="4" spans="1:11">
      <c r="A4" t="str">
        <v>GD Offshore</v>
      </c>
      <c r="B4" t="str" cm="1">
        <f t="array" ref="B4:K4">TRANSPOSE(A4&amp;_xlfn.SEQUENCE(COUNTIF('Staffing Plan'!$D$20:$D$69,A4)))</f>
        <v>GD Offshore1</v>
      </c>
      <c r="C4" t="str">
        <v>GD Offshore2</v>
      </c>
      <c r="D4" t="str">
        <v>GD Offshore3</v>
      </c>
      <c r="E4" t="str">
        <v>GD Offshore4</v>
      </c>
      <c r="F4" t="str">
        <v>GD Offshore5</v>
      </c>
      <c r="G4" t="str">
        <v>GD Offshore6</v>
      </c>
      <c r="H4" t="str">
        <v>GD Offshore7</v>
      </c>
      <c r="I4" t="str">
        <v>GD Offshore8</v>
      </c>
      <c r="J4" t="str">
        <v>GD Offshore9</v>
      </c>
      <c r="K4" t="str">
        <v>GD Offshore10</v>
      </c>
    </row>
    <row r="5" spans="1:11">
      <c r="A5" t="str">
        <v>GD Offshore</v>
      </c>
      <c r="B5" t="str" cm="1">
        <f t="array" ref="B5:K5">TRANSPOSE(A5&amp;_xlfn.SEQUENCE(COUNTIF('Staffing Plan'!$D$20:$D$69,A5)))</f>
        <v>GD Offshore1</v>
      </c>
      <c r="C5" t="str">
        <v>GD Offshore2</v>
      </c>
      <c r="D5" t="str">
        <v>GD Offshore3</v>
      </c>
      <c r="E5" t="str">
        <v>GD Offshore4</v>
      </c>
      <c r="F5" t="str">
        <v>GD Offshore5</v>
      </c>
      <c r="G5" t="str">
        <v>GD Offshore6</v>
      </c>
      <c r="H5" t="str">
        <v>GD Offshore7</v>
      </c>
      <c r="I5" t="str">
        <v>GD Offshore8</v>
      </c>
      <c r="J5" t="str">
        <v>GD Offshore9</v>
      </c>
      <c r="K5" t="str">
        <v>GD Offshore10</v>
      </c>
    </row>
    <row r="6" spans="1:11">
      <c r="A6">
        <v>0</v>
      </c>
      <c r="B6" t="str" cm="1">
        <f t="array" ref="B6:D6">TRANSPOSE(A6&amp;_xlfn.SEQUENCE(COUNTIF('Staffing Plan'!$D$20:$D$69,A6)))</f>
        <v>01</v>
      </c>
      <c r="C6" t="str">
        <v>02</v>
      </c>
      <c r="D6" t="str">
        <v>03</v>
      </c>
    </row>
    <row r="7" spans="1:11">
      <c r="A7">
        <v>0.2553067233864672</v>
      </c>
      <c r="B7" t="str" cm="1">
        <f t="array" ref="B7">TRANSPOSE(A7&amp;_xlfn.SEQUENCE(COUNTIF('Staffing Plan'!$D$20:$D$69,A7)))</f>
        <v>0.2553067233864671</v>
      </c>
    </row>
    <row r="8" spans="1:11">
      <c r="A8" t="str">
        <v>Senior Domain Solution Architect</v>
      </c>
      <c r="B8" t="str" cm="1">
        <f t="array" ref="B8">TRANSPOSE(A8&amp;_xlfn.SEQUENCE(COUNTIF('Staffing Plan'!$D$20:$D$69,A8)))</f>
        <v>Senior Domain Solution Architect1</v>
      </c>
    </row>
    <row r="9" spans="1:11">
      <c r="A9" t="str">
        <v>Senior Consultant</v>
      </c>
      <c r="B9" t="str" cm="1">
        <f t="array" ref="B9:D9">TRANSPOSE(A9&amp;_xlfn.SEQUENCE(COUNTIF('Staffing Plan'!$D$20:$D$69,A9)))</f>
        <v>Senior Consultant1</v>
      </c>
      <c r="C9" t="str">
        <v>Senior Consultant2</v>
      </c>
      <c r="D9" t="str">
        <v>Senior Consultant3</v>
      </c>
    </row>
    <row r="10" spans="1:11">
      <c r="A10" t="str">
        <v>GD Offshore</v>
      </c>
      <c r="B10" t="str" cm="1">
        <f t="array" ref="B10:K10">TRANSPOSE(A10&amp;_xlfn.SEQUENCE(COUNTIF('Staffing Plan'!$D$20:$D$69,A10)))</f>
        <v>GD Offshore1</v>
      </c>
      <c r="C10" t="str">
        <v>GD Offshore2</v>
      </c>
      <c r="D10" t="str">
        <v>GD Offshore3</v>
      </c>
      <c r="E10" t="str">
        <v>GD Offshore4</v>
      </c>
      <c r="F10" t="str">
        <v>GD Offshore5</v>
      </c>
      <c r="G10" t="str">
        <v>GD Offshore6</v>
      </c>
      <c r="H10" t="str">
        <v>GD Offshore7</v>
      </c>
      <c r="I10" t="str">
        <v>GD Offshore8</v>
      </c>
      <c r="J10" t="str">
        <v>GD Offshore9</v>
      </c>
      <c r="K10" t="str">
        <v>GD Offshore10</v>
      </c>
    </row>
    <row r="11" spans="1:11">
      <c r="A11" t="str">
        <v>GD Offshore</v>
      </c>
      <c r="B11" t="str" cm="1">
        <f t="array" ref="B11:K11">TRANSPOSE(A11&amp;_xlfn.SEQUENCE(COUNTIF('Staffing Plan'!$D$20:$D$69,A11)))</f>
        <v>GD Offshore1</v>
      </c>
      <c r="C11" t="str">
        <v>GD Offshore2</v>
      </c>
      <c r="D11" t="str">
        <v>GD Offshore3</v>
      </c>
      <c r="E11" t="str">
        <v>GD Offshore4</v>
      </c>
      <c r="F11" t="str">
        <v>GD Offshore5</v>
      </c>
      <c r="G11" t="str">
        <v>GD Offshore6</v>
      </c>
      <c r="H11" t="str">
        <v>GD Offshore7</v>
      </c>
      <c r="I11" t="str">
        <v>GD Offshore8</v>
      </c>
      <c r="J11" t="str">
        <v>GD Offshore9</v>
      </c>
      <c r="K11" t="str">
        <v>GD Offshore10</v>
      </c>
    </row>
    <row r="12" spans="1:11">
      <c r="A12" t="str">
        <v>GD Offshore</v>
      </c>
      <c r="B12" t="str" cm="1">
        <f t="array" ref="B12:K12">TRANSPOSE(A12&amp;_xlfn.SEQUENCE(COUNTIF('Staffing Plan'!$D$20:$D$69,A12)))</f>
        <v>GD Offshore1</v>
      </c>
      <c r="C12" t="str">
        <v>GD Offshore2</v>
      </c>
      <c r="D12" t="str">
        <v>GD Offshore3</v>
      </c>
      <c r="E12" t="str">
        <v>GD Offshore4</v>
      </c>
      <c r="F12" t="str">
        <v>GD Offshore5</v>
      </c>
      <c r="G12" t="str">
        <v>GD Offshore6</v>
      </c>
      <c r="H12" t="str">
        <v>GD Offshore7</v>
      </c>
      <c r="I12" t="str">
        <v>GD Offshore8</v>
      </c>
      <c r="J12" t="str">
        <v>GD Offshore9</v>
      </c>
      <c r="K12" t="str">
        <v>GD Offshore10</v>
      </c>
    </row>
    <row r="13" spans="1:11">
      <c r="A13" t="str">
        <v>GD Offshore</v>
      </c>
      <c r="B13" t="str" cm="1">
        <f t="array" ref="B13:K13">TRANSPOSE(A13&amp;_xlfn.SEQUENCE(COUNTIF('Staffing Plan'!$D$20:$D$69,A13)))</f>
        <v>GD Offshore1</v>
      </c>
      <c r="C13" t="str">
        <v>GD Offshore2</v>
      </c>
      <c r="D13" t="str">
        <v>GD Offshore3</v>
      </c>
      <c r="E13" t="str">
        <v>GD Offshore4</v>
      </c>
      <c r="F13" t="str">
        <v>GD Offshore5</v>
      </c>
      <c r="G13" t="str">
        <v>GD Offshore6</v>
      </c>
      <c r="H13" t="str">
        <v>GD Offshore7</v>
      </c>
      <c r="I13" t="str">
        <v>GD Offshore8</v>
      </c>
      <c r="J13" t="str">
        <v>GD Offshore9</v>
      </c>
      <c r="K13" t="str">
        <v>GD Offshore10</v>
      </c>
    </row>
    <row r="14" spans="1:11">
      <c r="A14">
        <v>0.40683342451942878</v>
      </c>
      <c r="B14" t="str" cm="1">
        <f t="array" ref="B14">TRANSPOSE(A14&amp;_xlfn.SEQUENCE(COUNTIF('Staffing Plan'!$D$20:$D$69,A14)))</f>
        <v>0.4068334245194291</v>
      </c>
    </row>
    <row r="15" spans="1:11">
      <c r="A15" t="str">
        <v>Principal Data Scientist</v>
      </c>
      <c r="B15" t="str" cm="1">
        <f t="array" ref="B15">TRANSPOSE(A15&amp;_xlfn.SEQUENCE(COUNTIF('Staffing Plan'!$D$20:$D$69,A15)))</f>
        <v>Principal Data Scientist1</v>
      </c>
    </row>
    <row r="16" spans="1:11">
      <c r="A16" t="str">
        <v>Data Scientist</v>
      </c>
      <c r="B16" t="str" cm="1">
        <f t="array" ref="B16:E16">TRANSPOSE(A16&amp;_xlfn.SEQUENCE(COUNTIF('Staffing Plan'!$D$20:$D$69,A16)))</f>
        <v>Data Scientist1</v>
      </c>
      <c r="C16" t="str">
        <v>Data Scientist2</v>
      </c>
      <c r="D16" t="str">
        <v>Data Scientist3</v>
      </c>
      <c r="E16" t="str">
        <v>Data Scientist4</v>
      </c>
    </row>
    <row r="17" spans="1:5">
      <c r="A17" t="str">
        <v>Data Scientist</v>
      </c>
      <c r="B17" t="str" cm="1">
        <f t="array" ref="B17:E17">TRANSPOSE(A17&amp;_xlfn.SEQUENCE(COUNTIF('Staffing Plan'!$D$20:$D$69,A17)))</f>
        <v>Data Scientist1</v>
      </c>
      <c r="C17" t="str">
        <v>Data Scientist2</v>
      </c>
      <c r="D17" t="str">
        <v>Data Scientist3</v>
      </c>
      <c r="E17" t="str">
        <v>Data Scientist4</v>
      </c>
    </row>
    <row r="18" spans="1:5">
      <c r="A18" t="str">
        <v>Data Scientist</v>
      </c>
    </row>
    <row r="19" spans="1:5">
      <c r="A19" t="str">
        <v>Data Scientist</v>
      </c>
    </row>
    <row r="20" spans="1:5">
      <c r="A20" t="str">
        <v>Senior Consultant</v>
      </c>
    </row>
    <row r="21" spans="1:5">
      <c r="A21" t="str">
        <v>Senior Consultant</v>
      </c>
    </row>
    <row r="22" spans="1:5">
      <c r="A22" t="str">
        <v>GD Offshore</v>
      </c>
    </row>
    <row r="23" spans="1:5">
      <c r="A23" t="str">
        <v>GD Offshore</v>
      </c>
    </row>
    <row r="24" spans="1:5">
      <c r="A24" t="str">
        <v>GD Offshore</v>
      </c>
    </row>
    <row r="25" spans="1:5">
      <c r="A25" t="str">
        <v>GD Offshore</v>
      </c>
    </row>
    <row r="26" spans="1:5">
      <c r="A26" t="str">
        <v>Security Architect</v>
      </c>
    </row>
    <row r="27" spans="1:5">
      <c r="A27">
        <v>0</v>
      </c>
    </row>
    <row r="28" spans="1:5">
      <c r="A28">
        <v>0</v>
      </c>
    </row>
    <row r="29" spans="1:5">
      <c r="A29">
        <v>1.5085663701581719E-2</v>
      </c>
    </row>
    <row r="30" spans="1:5">
      <c r="A30" t="str">
        <v>Security Architect</v>
      </c>
    </row>
    <row r="31" spans="1:5">
      <c r="A31" t="str">
        <v>Security Consultant</v>
      </c>
    </row>
  </sheetData>
  <phoneticPr fontId="15"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4854D-6DD3-4B6C-B9DD-C0501A20A72B}">
  <dimension ref="A1:A2"/>
  <sheetViews>
    <sheetView workbookViewId="0">
      <selection activeCell="A2" sqref="A2"/>
    </sheetView>
  </sheetViews>
  <sheetFormatPr defaultRowHeight="14.45"/>
  <sheetData>
    <row r="1" spans="1:1">
      <c r="A1" t="s">
        <v>1605</v>
      </c>
    </row>
    <row r="2" spans="1:1">
      <c r="A2" t="s">
        <v>1606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547ED-10FF-4C5A-94EC-9218DD29AE2F}">
  <dimension ref="A1:A6"/>
  <sheetViews>
    <sheetView workbookViewId="0">
      <selection activeCell="A2" sqref="A2:A6"/>
    </sheetView>
  </sheetViews>
  <sheetFormatPr defaultRowHeight="14.45"/>
  <sheetData>
    <row r="1" spans="1:1">
      <c r="A1" t="s">
        <v>360</v>
      </c>
    </row>
    <row r="2" spans="1:1">
      <c r="A2" t="s">
        <v>114</v>
      </c>
    </row>
    <row r="3" spans="1:1">
      <c r="A3" t="s">
        <v>97</v>
      </c>
    </row>
    <row r="4" spans="1:1">
      <c r="A4" t="s">
        <v>139</v>
      </c>
    </row>
    <row r="5" spans="1:1">
      <c r="A5" t="s">
        <v>122</v>
      </c>
    </row>
    <row r="6" spans="1:1">
      <c r="A6" t="s">
        <v>1607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205b6731-7156-4e65-a970-4d2a05f910d7">
      <Terms xmlns="http://schemas.microsoft.com/office/infopath/2007/PartnerControls"/>
    </lcf76f155ced4ddcb4097134ff3c332f>
    <TaxCatchAll xmlns="6dece88e-aea2-4b7d-872a-c7533832f6d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0ADD3DEB6FE1142BB1BFA6F0B68C0A2" ma:contentTypeVersion="13" ma:contentTypeDescription="Create a new document." ma:contentTypeScope="" ma:versionID="d41dc82e0690f8a8f728dbe7396dd4c2">
  <xsd:schema xmlns:xsd="http://www.w3.org/2001/XMLSchema" xmlns:xs="http://www.w3.org/2001/XMLSchema" xmlns:p="http://schemas.microsoft.com/office/2006/metadata/properties" xmlns:ns1="http://schemas.microsoft.com/sharepoint/v3" xmlns:ns2="205b6731-7156-4e65-a970-4d2a05f910d7" xmlns:ns3="6dece88e-aea2-4b7d-872a-c7533832f6d7" targetNamespace="http://schemas.microsoft.com/office/2006/metadata/properties" ma:root="true" ma:fieldsID="8ef5ba4ad645fda8a224a70d7061f1e0" ns1:_="" ns2:_="" ns3:_="">
    <xsd:import namespace="http://schemas.microsoft.com/sharepoint/v3"/>
    <xsd:import namespace="205b6731-7156-4e65-a970-4d2a05f910d7"/>
    <xsd:import namespace="6dece88e-aea2-4b7d-872a-c7533832f6d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05b6731-7156-4e65-a970-4d2a05f910d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dece88e-aea2-4b7d-872a-c7533832f6d7"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9d912ceb-6e01-4b41-92d6-b74d611d0784}" ma:internalName="TaxCatchAll" ma:showField="CatchAllData" ma:web="6dece88e-aea2-4b7d-872a-c7533832f6d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B4449F6-B3F9-4D1B-AD36-E77B62D82397}"/>
</file>

<file path=customXml/itemProps2.xml><?xml version="1.0" encoding="utf-8"?>
<ds:datastoreItem xmlns:ds="http://schemas.openxmlformats.org/officeDocument/2006/customXml" ds:itemID="{18DA9491-8E89-4E09-A807-D5936D1DE0A8}"/>
</file>

<file path=customXml/itemProps3.xml><?xml version="1.0" encoding="utf-8"?>
<ds:datastoreItem xmlns:ds="http://schemas.openxmlformats.org/officeDocument/2006/customXml" ds:itemID="{14760F2E-FD54-4FD0-823B-4527E6C29A23}"/>
</file>

<file path=docMetadata/LabelInfo.xml><?xml version="1.0" encoding="utf-8"?>
<clbl:labelList xmlns:clbl="http://schemas.microsoft.com/office/2020/mipLabelMetadata">
  <clbl:label id="{87867195-f2b8-4ac2-b0b6-6bb73cb33afc}" enabled="1" method="Privilege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Marc Winder</dc:creator>
  <cp:keywords/>
  <dc:description/>
  <cp:lastModifiedBy/>
  <cp:revision/>
  <dcterms:created xsi:type="dcterms:W3CDTF">2022-06-18T23:39:06Z</dcterms:created>
  <dcterms:modified xsi:type="dcterms:W3CDTF">2026-06-07T15:05:28Z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0x01010070ADD3DEB6FE1142BB1BFA6F0B68C0A2</vt:lpwstr>
  </property>
  <property fmtid="{D5CDD505-2E9C-101B-9397-08002B2CF9AE}" pid="3" name="bc28b5f076654a3b96073bbbebfeb8c9">
    <vt:lpwstr>English|cb91f272-ce4d-4a7e-9bbf-78b58e3d188d</vt:lpwstr>
  </property>
  <property fmtid="{D5CDD505-2E9C-101B-9397-08002B2CF9AE}" pid="4" name="TaxCatchAll">
    <vt:lpwstr>1;#English|cb91f272-ce4d-4a7e-9bbf-78b58e3d188d</vt:lpwstr>
  </property>
  <property fmtid="{D5CDD505-2E9C-101B-9397-08002B2CF9AE}" pid="5" name="_dlc_DocIdItemGuid">
    <vt:lpwstr>2efeb3dd-06bc-4f23-9006-5d5d6ac7b18b</vt:lpwstr>
  </property>
  <property fmtid="{D5CDD505-2E9C-101B-9397-08002B2CF9AE}" pid="6" name="p7ae7c99891b404d9a873cd3c41a01e4">
    <vt:lpwstr/>
  </property>
  <property fmtid="{D5CDD505-2E9C-101B-9397-08002B2CF9AE}" pid="7" name="ServicesDomain">
    <vt:lpwstr/>
  </property>
  <property fmtid="{D5CDD505-2E9C-101B-9397-08002B2CF9AE}" pid="8" name="VerticalIndustries">
    <vt:lpwstr/>
  </property>
  <property fmtid="{D5CDD505-2E9C-101B-9397-08002B2CF9AE}" pid="9" name="ServicesBusinessScenario">
    <vt:lpwstr/>
  </property>
  <property fmtid="{D5CDD505-2E9C-101B-9397-08002B2CF9AE}" pid="10" name="MSProducts">
    <vt:lpwstr/>
  </property>
  <property fmtid="{D5CDD505-2E9C-101B-9397-08002B2CF9AE}" pid="11" name="p26d0941c95b4632829814c66f0e8c72">
    <vt:lpwstr/>
  </property>
  <property fmtid="{D5CDD505-2E9C-101B-9397-08002B2CF9AE}" pid="12" name="CodeKeywords">
    <vt:lpwstr/>
  </property>
  <property fmtid="{D5CDD505-2E9C-101B-9397-08002B2CF9AE}" pid="13" name="m74a2925250f485f9486ed3f97e2a6b3">
    <vt:lpwstr/>
  </property>
  <property fmtid="{D5CDD505-2E9C-101B-9397-08002B2CF9AE}" pid="14" name="ServicesIPTypes">
    <vt:lpwstr/>
  </property>
  <property fmtid="{D5CDD505-2E9C-101B-9397-08002B2CF9AE}" pid="15" name="g6775e77a6d84637a29014d883a4378a">
    <vt:lpwstr/>
  </property>
  <property fmtid="{D5CDD505-2E9C-101B-9397-08002B2CF9AE}" pid="16" name="DevelopmentLanguages">
    <vt:lpwstr/>
  </property>
  <property fmtid="{D5CDD505-2E9C-101B-9397-08002B2CF9AE}" pid="17" name="ServicesCommunities">
    <vt:lpwstr/>
  </property>
  <property fmtid="{D5CDD505-2E9C-101B-9397-08002B2CF9AE}" pid="18" name="af1f5bfae61e4243aac9966cb19580e1">
    <vt:lpwstr/>
  </property>
  <property fmtid="{D5CDD505-2E9C-101B-9397-08002B2CF9AE}" pid="19" name="MSProductsTaxHTField0">
    <vt:lpwstr/>
  </property>
  <property fmtid="{D5CDD505-2E9C-101B-9397-08002B2CF9AE}" pid="20" name="MSLanguage">
    <vt:lpwstr>1;#English|cb91f272-ce4d-4a7e-9bbf-78b58e3d188d</vt:lpwstr>
  </property>
  <property fmtid="{D5CDD505-2E9C-101B-9397-08002B2CF9AE}" pid="21" name="fbc3fc07245d4d4d97685e71074b9827">
    <vt:lpwstr/>
  </property>
  <property fmtid="{D5CDD505-2E9C-101B-9397-08002B2CF9AE}" pid="22" name="oad7af80ad0f4ba99bb03b3894ab533c">
    <vt:lpwstr/>
  </property>
  <property fmtid="{D5CDD505-2E9C-101B-9397-08002B2CF9AE}" pid="23" name="MediaServiceImageTags">
    <vt:lpwstr/>
  </property>
</Properties>
</file>