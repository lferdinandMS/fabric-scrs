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.sharepoint.com/teams/SEE-47530/Shared Documents/Ford 7-3FS2XQBWAO Pre-Sales/Staffing Plan and SOW/"/>
    </mc:Choice>
  </mc:AlternateContent>
  <xr:revisionPtr revIDLastSave="416" documentId="13_ncr:1_{C8F8DFA8-C989-42F9-B9FB-D5F6277FB3AA}" xr6:coauthVersionLast="47" xr6:coauthVersionMax="47" xr10:uidLastSave="{E702877A-0961-41CF-9109-607E79D1849A}"/>
  <bookViews>
    <workbookView xWindow="-120" yWindow="-120" windowWidth="29040" windowHeight="15720" xr2:uid="{900F7860-05F1-4762-B67D-C2B37A5C0BB2}"/>
  </bookViews>
  <sheets>
    <sheet name="POST SRM (V2)" sheetId="21" r:id="rId1"/>
    <sheet name="POST SRM (V1)" sheetId="20" r:id="rId2"/>
    <sheet name="PRE SRM (Orig)" sheetId="19" r:id="rId3"/>
  </sheets>
  <externalReferences>
    <externalReference r:id="rId4"/>
    <externalReference r:id="rId5"/>
  </externalReferences>
  <definedNames>
    <definedName name="VSTS_15f04b54_56af_4022_b405_212e3fe723e4_1" hidden="1">#REF!</definedName>
    <definedName name="VSTS_15f04b54_56af_4022_b405_212e3fe723e4_2" hidden="1">#REF!</definedName>
    <definedName name="VSTS_15f04b54_56af_4022_b405_212e3fe723e4_24" hidden="1">#REF!</definedName>
    <definedName name="VSTS_15f04b54_56af_4022_b405_212e3fe723e4_25" hidden="1">#REF!</definedName>
    <definedName name="VSTS_15f04b54_56af_4022_b405_212e3fe723e4_32" hidden="1">#REF!</definedName>
    <definedName name="VSTS_15f04b54_56af_4022_b405_212e3fe723e4_4600344" hidden="1">#REF!</definedName>
    <definedName name="VSTS_15f04b54_56af_4022_b405_212e3fe723e4_4600347" hidden="1">#REF!</definedName>
    <definedName name="VSTS_15f04b54_56af_4022_b405_212e3fe723e4_80" hidden="1">#REF!</definedName>
    <definedName name="VSTS_15f04b54_56af_4022_b405_212e3fe723e4_n105" hidden="1">#REF!</definedName>
    <definedName name="VSTS_15f04b54_56af_4022_b405_212e3fe723e4_n3" hidden="1">#REF!</definedName>
    <definedName name="VSTS_15f04b54_56af_4022_b405_212e3fe723e4_n7" hidden="1">#REF!</definedName>
    <definedName name="VSTS_697d21d1_832d_4363_8513_9220c458101c_1" hidden="1">#REF!</definedName>
    <definedName name="VSTS_697d21d1_832d_4363_8513_9220c458101c_2" hidden="1">#REF!</definedName>
    <definedName name="VSTS_697d21d1_832d_4363_8513_9220c458101c_24" hidden="1">#REF!</definedName>
    <definedName name="VSTS_697d21d1_832d_4363_8513_9220c458101c_25" hidden="1">#REF!</definedName>
    <definedName name="VSTS_697d21d1_832d_4363_8513_9220c458101c_32" hidden="1">#REF!</definedName>
    <definedName name="VSTS_697d21d1_832d_4363_8513_9220c458101c_4600344" hidden="1">#REF!</definedName>
    <definedName name="VSTS_697d21d1_832d_4363_8513_9220c458101c_4600347" hidden="1">#REF!</definedName>
    <definedName name="VSTS_697d21d1_832d_4363_8513_9220c458101c_80" hidden="1">#REF!</definedName>
    <definedName name="VSTS_697d21d1_832d_4363_8513_9220c458101c_n105" hidden="1">#REF!</definedName>
    <definedName name="VSTS_697d21d1_832d_4363_8513_9220c458101c_n3" hidden="1">#REF!</definedName>
    <definedName name="VSTS_697d21d1_832d_4363_8513_9220c458101c_n7" hidden="1">#REF!</definedName>
    <definedName name="VSTS_c745fea0_a76e_43ab_8f01_56aca2f1f05e_1" hidden="1">#REF!</definedName>
    <definedName name="VSTS_c745fea0_a76e_43ab_8f01_56aca2f1f05e_2" hidden="1">#REF!</definedName>
    <definedName name="VSTS_c745fea0_a76e_43ab_8f01_56aca2f1f05e_24" hidden="1">#REF!</definedName>
    <definedName name="VSTS_c745fea0_a76e_43ab_8f01_56aca2f1f05e_25" hidden="1">#REF!</definedName>
    <definedName name="VSTS_c745fea0_a76e_43ab_8f01_56aca2f1f05e_32" hidden="1">#REF!</definedName>
    <definedName name="VSTS_c745fea0_a76e_43ab_8f01_56aca2f1f05e_4600344" hidden="1">#REF!</definedName>
    <definedName name="VSTS_c745fea0_a76e_43ab_8f01_56aca2f1f05e_4600347" hidden="1">#REF!</definedName>
    <definedName name="VSTS_c745fea0_a76e_43ab_8f01_56aca2f1f05e_80" hidden="1">#REF!</definedName>
    <definedName name="VSTS_c745fea0_a76e_43ab_8f01_56aca2f1f05e_n105" hidden="1">#REF!</definedName>
    <definedName name="VSTS_c745fea0_a76e_43ab_8f01_56aca2f1f05e_n3" hidden="1">#REF!</definedName>
    <definedName name="VSTS_c745fea0_a76e_43ab_8f01_56aca2f1f05e_n7" hidden="1">#REF!</definedName>
    <definedName name="VSTS_ec98fb88_d011_48e4_9682_1070f95ec3f7_1" hidden="1">#REF!</definedName>
    <definedName name="VSTS_ec98fb88_d011_48e4_9682_1070f95ec3f7_2" hidden="1">#REF!</definedName>
    <definedName name="VSTS_ec98fb88_d011_48e4_9682_1070f95ec3f7_24" hidden="1">#REF!</definedName>
    <definedName name="VSTS_ec98fb88_d011_48e4_9682_1070f95ec3f7_25" hidden="1">#REF!</definedName>
    <definedName name="VSTS_ec98fb88_d011_48e4_9682_1070f95ec3f7_32" hidden="1">#REF!</definedName>
    <definedName name="VSTS_ec98fb88_d011_48e4_9682_1070f95ec3f7_4600344" hidden="1">#REF!</definedName>
    <definedName name="VSTS_ec98fb88_d011_48e4_9682_1070f95ec3f7_4600347" hidden="1">#REF!</definedName>
    <definedName name="VSTS_ec98fb88_d011_48e4_9682_1070f95ec3f7_80" hidden="1">#REF!</definedName>
    <definedName name="VSTS_ec98fb88_d011_48e4_9682_1070f95ec3f7_n105" hidden="1">#REF!</definedName>
    <definedName name="VSTS_ec98fb88_d011_48e4_9682_1070f95ec3f7_n3" hidden="1">#REF!</definedName>
    <definedName name="VSTS_ec98fb88_d011_48e4_9682_1070f95ec3f7_n7" hidden="1">#REF!</definedName>
    <definedName name="VSTS_f6876aad_66b4_407a_bcd1_a93475a7401c_1" hidden="1">#REF!</definedName>
    <definedName name="VSTS_f6876aad_66b4_407a_bcd1_a93475a7401c_2" hidden="1">#REF!</definedName>
    <definedName name="VSTS_f6876aad_66b4_407a_bcd1_a93475a7401c_24" hidden="1">#REF!</definedName>
    <definedName name="VSTS_f6876aad_66b4_407a_bcd1_a93475a7401c_25" hidden="1">#REF!</definedName>
    <definedName name="VSTS_f6876aad_66b4_407a_bcd1_a93475a7401c_32" hidden="1">#REF!</definedName>
    <definedName name="VSTS_f6876aad_66b4_407a_bcd1_a93475a7401c_4600344" hidden="1">#REF!</definedName>
    <definedName name="VSTS_f6876aad_66b4_407a_bcd1_a93475a7401c_4600347" hidden="1">#REF!</definedName>
    <definedName name="VSTS_f6876aad_66b4_407a_bcd1_a93475a7401c_80" hidden="1">#REF!</definedName>
    <definedName name="VSTS_f6876aad_66b4_407a_bcd1_a93475a7401c_n105" hidden="1">#REF!</definedName>
    <definedName name="VSTS_f6876aad_66b4_407a_bcd1_a93475a7401c_n3" hidden="1">#REF!</definedName>
    <definedName name="VSTS_f6876aad_66b4_407a_bcd1_a93475a7401c_n7" hidden="1">#REF!</definedName>
    <definedName name="VSTS_ValidationRange_10f0ccd095884c6e8afc1f152eee4e89" localSheetId="1" hidden="1">[1]VSTS_ValidationWS_1!$JZ$1:$JZ$12</definedName>
    <definedName name="VSTS_ValidationRange_10f0ccd095884c6e8afc1f152eee4e89" localSheetId="0" hidden="1">[1]VSTS_ValidationWS_1!$JZ$1:$JZ$12</definedName>
    <definedName name="VSTS_ValidationRange_10f0ccd095884c6e8afc1f152eee4e89" hidden="1">[2]VSTS_ValidationWS_1!$JZ$1:$JZ$12</definedName>
    <definedName name="VSTS_ValidationRange_2eb11c8c32614033a3dc0eb49e00687a" localSheetId="1" hidden="1">[1]VSTS_ValidationWS_1!$G$1:$G$11</definedName>
    <definedName name="VSTS_ValidationRange_2eb11c8c32614033a3dc0eb49e00687a" localSheetId="0" hidden="1">[1]VSTS_ValidationWS_1!$G$1:$G$11</definedName>
    <definedName name="VSTS_ValidationRange_2eb11c8c32614033a3dc0eb49e00687a" hidden="1">[2]VSTS_ValidationWS_1!$G$1:$G$11</definedName>
    <definedName name="VSTS_ValidationRange_3800bc8ea10e45d2890b10208e29ef20" localSheetId="1" hidden="1">[1]VSTS_ValidationWS_1!$IR$1:$IR$66</definedName>
    <definedName name="VSTS_ValidationRange_3800bc8ea10e45d2890b10208e29ef20" localSheetId="0" hidden="1">[1]VSTS_ValidationWS_1!$IR$1:$IR$66</definedName>
    <definedName name="VSTS_ValidationRange_3800bc8ea10e45d2890b10208e29ef20" hidden="1">[2]VSTS_ValidationWS_1!$IR$1:$IR$66</definedName>
    <definedName name="VSTS_ValidationRange_3c4f0d997f8243bea279ee92bd158bd7" localSheetId="1" hidden="1">[1]VSTS_ValidationWS_1!$KU$1:$KU$4</definedName>
    <definedName name="VSTS_ValidationRange_3c4f0d997f8243bea279ee92bd158bd7" localSheetId="0" hidden="1">[1]VSTS_ValidationWS_1!$KU$1:$KU$4</definedName>
    <definedName name="VSTS_ValidationRange_3c4f0d997f8243bea279ee92bd158bd7" hidden="1">[2]VSTS_ValidationWS_1!$KU$1:$KU$4</definedName>
    <definedName name="VSTS_ValidationRange_3eac030abbf544fcb1d2ceb83dbe0222" localSheetId="1" hidden="1">[1]VSTS_ValidationWS_1!$HT$1:$HT$66</definedName>
    <definedName name="VSTS_ValidationRange_3eac030abbf544fcb1d2ceb83dbe0222" localSheetId="0" hidden="1">[1]VSTS_ValidationWS_1!$HT$1:$HT$66</definedName>
    <definedName name="VSTS_ValidationRange_3eac030abbf544fcb1d2ceb83dbe0222" hidden="1">[2]VSTS_ValidationWS_1!$HT$1:$HT$66</definedName>
    <definedName name="VSTS_ValidationRange_3f35d1f034104b61ae6119d516d72ad2" localSheetId="1" hidden="1">[1]VSTS_ValidationWS_1!$JY$1:$JY$4</definedName>
    <definedName name="VSTS_ValidationRange_3f35d1f034104b61ae6119d516d72ad2" localSheetId="0" hidden="1">[1]VSTS_ValidationWS_1!$JY$1:$JY$4</definedName>
    <definedName name="VSTS_ValidationRange_3f35d1f034104b61ae6119d516d72ad2" hidden="1">[2]VSTS_ValidationWS_1!$JY$1:$JY$4</definedName>
    <definedName name="VSTS_ValidationRange_4339ff214eb54a6898a7b1627dfe522e" localSheetId="1" hidden="1">[1]VSTS_ValidationWS_1!$HQ$1:$HQ$25</definedName>
    <definedName name="VSTS_ValidationRange_4339ff214eb54a6898a7b1627dfe522e" localSheetId="0" hidden="1">[1]VSTS_ValidationWS_1!$HQ$1:$HQ$25</definedName>
    <definedName name="VSTS_ValidationRange_4339ff214eb54a6898a7b1627dfe522e" hidden="1">[2]VSTS_ValidationWS_1!$HQ$1:$HQ$25</definedName>
    <definedName name="VSTS_ValidationRange_4f93bd68e1c543729de13421cfb2c117" localSheetId="1" hidden="1">[1]VSTS_ValidationWS_1!$LM$1:$LM$12</definedName>
    <definedName name="VSTS_ValidationRange_4f93bd68e1c543729de13421cfb2c117" localSheetId="0" hidden="1">[1]VSTS_ValidationWS_1!$LM$1:$LM$12</definedName>
    <definedName name="VSTS_ValidationRange_4f93bd68e1c543729de13421cfb2c117" hidden="1">[2]VSTS_ValidationWS_1!$LM$1:$LM$12</definedName>
    <definedName name="VSTS_ValidationRange_63e5cc6e143948f1b9147d328997e81d" localSheetId="1" hidden="1">[1]VSTS_ValidationWS_1!$K$1:$K$11</definedName>
    <definedName name="VSTS_ValidationRange_63e5cc6e143948f1b9147d328997e81d" localSheetId="0" hidden="1">[1]VSTS_ValidationWS_1!$K$1:$K$11</definedName>
    <definedName name="VSTS_ValidationRange_63e5cc6e143948f1b9147d328997e81d" hidden="1">[2]VSTS_ValidationWS_1!$K$1:$K$11</definedName>
    <definedName name="VSTS_ValidationRange_79d89374046748f994c33d1bcdd445b6" localSheetId="1" hidden="1">[1]VSTS_ValidationWS_1!$I$1:$I$4</definedName>
    <definedName name="VSTS_ValidationRange_79d89374046748f994c33d1bcdd445b6" localSheetId="0" hidden="1">[1]VSTS_ValidationWS_1!$I$1:$I$4</definedName>
    <definedName name="VSTS_ValidationRange_79d89374046748f994c33d1bcdd445b6" hidden="1">[2]VSTS_ValidationWS_1!$I$1:$I$4</definedName>
    <definedName name="VSTS_ValidationRange_7c468a62036b413fb89d2bf908b21ab1" localSheetId="1" hidden="1">[1]VSTS_ValidationWS_1!$F$1:$F$11</definedName>
    <definedName name="VSTS_ValidationRange_7c468a62036b413fb89d2bf908b21ab1" localSheetId="0" hidden="1">[1]VSTS_ValidationWS_1!$F$1:$F$11</definedName>
    <definedName name="VSTS_ValidationRange_7c468a62036b413fb89d2bf908b21ab1" hidden="1">[2]VSTS_ValidationWS_1!$F$1:$F$11</definedName>
    <definedName name="VSTS_ValidationRange_8c62c36e24314968827245cf8feefd6f" localSheetId="1" hidden="1">[1]VSTS_ValidationWS_1!$IV$1:$IV$4</definedName>
    <definedName name="VSTS_ValidationRange_8c62c36e24314968827245cf8feefd6f" localSheetId="0" hidden="1">[1]VSTS_ValidationWS_1!$IV$1:$IV$4</definedName>
    <definedName name="VSTS_ValidationRange_8c62c36e24314968827245cf8feefd6f" hidden="1">[2]VSTS_ValidationWS_1!$IV$1:$IV$4</definedName>
    <definedName name="VSTS_ValidationRange_9c9bba7533a54d1896a1d73f3ca34656" localSheetId="1" hidden="1">[1]VSTS_ValidationWS_1!$KX$1:$KX$4</definedName>
    <definedName name="VSTS_ValidationRange_9c9bba7533a54d1896a1d73f3ca34656" localSheetId="0" hidden="1">[1]VSTS_ValidationWS_1!$KX$1:$KX$4</definedName>
    <definedName name="VSTS_ValidationRange_9c9bba7533a54d1896a1d73f3ca34656" hidden="1">[2]VSTS_ValidationWS_1!$KX$1:$KX$4</definedName>
    <definedName name="VSTS_ValidationRange_a4b9699e40304b5da40bb0bf72a2a059" localSheetId="1" hidden="1">[1]VSTS_ValidationWS_1!$HN$1:$HN$14</definedName>
    <definedName name="VSTS_ValidationRange_a4b9699e40304b5da40bb0bf72a2a059" localSheetId="0" hidden="1">[1]VSTS_ValidationWS_1!$HN$1:$HN$14</definedName>
    <definedName name="VSTS_ValidationRange_a4b9699e40304b5da40bb0bf72a2a059" hidden="1">[2]VSTS_ValidationWS_1!$HN$1:$HN$14</definedName>
    <definedName name="VSTS_ValidationRange_a8b86220e81c400a80e657f9a24f14c1" localSheetId="1" hidden="1">[1]VSTS_ValidationWS_1!$LL$1:$LL$66</definedName>
    <definedName name="VSTS_ValidationRange_a8b86220e81c400a80e657f9a24f14c1" localSheetId="0" hidden="1">[1]VSTS_ValidationWS_1!$LL$1:$LL$66</definedName>
    <definedName name="VSTS_ValidationRange_a8b86220e81c400a80e657f9a24f14c1" hidden="1">[2]VSTS_ValidationWS_1!$LL$1:$LL$66</definedName>
    <definedName name="VSTS_ValidationRange_b33af90e4da2413f899ddc5bc3eb591d" localSheetId="1" hidden="1">[1]VSTS_ValidationWS_1!$L$1:$L$2</definedName>
    <definedName name="VSTS_ValidationRange_b33af90e4da2413f899ddc5bc3eb591d" localSheetId="0" hidden="1">[1]VSTS_ValidationWS_1!$L$1:$L$2</definedName>
    <definedName name="VSTS_ValidationRange_b33af90e4da2413f899ddc5bc3eb591d" hidden="1">[2]VSTS_ValidationWS_1!$L$1:$L$2</definedName>
    <definedName name="VSTS_ValidationRange_b85fa2ccadf5436d8ccadad590dbc124" localSheetId="1" hidden="1">[1]VSTS_ValidationWS_1!$HU$1:$HU$12</definedName>
    <definedName name="VSTS_ValidationRange_b85fa2ccadf5436d8ccadad590dbc124" localSheetId="0" hidden="1">[1]VSTS_ValidationWS_1!$HU$1:$HU$12</definedName>
    <definedName name="VSTS_ValidationRange_b85fa2ccadf5436d8ccadad590dbc124" hidden="1">[2]VSTS_ValidationWS_1!$HU$1:$HU$12</definedName>
    <definedName name="VSTS_ValidationRange_d811d748f72b491aac74ac55ee2a530c" localSheetId="1" hidden="1">[1]VSTS_ValidationWS_1!$HO$1:$HO$12</definedName>
    <definedName name="VSTS_ValidationRange_d811d748f72b491aac74ac55ee2a530c" localSheetId="0" hidden="1">[1]VSTS_ValidationWS_1!$HO$1:$HO$12</definedName>
    <definedName name="VSTS_ValidationRange_d811d748f72b491aac74ac55ee2a530c" hidden="1">[2]VSTS_ValidationWS_1!$HO$1:$HO$12</definedName>
    <definedName name="VSTS_ValidationRange_eacd391ad1884d38afb8bd685b219843" localSheetId="1" hidden="1">[1]VSTS_ValidationWS_1!$J$1:$J$12</definedName>
    <definedName name="VSTS_ValidationRange_eacd391ad1884d38afb8bd685b219843" localSheetId="0" hidden="1">[1]VSTS_ValidationWS_1!$J$1:$J$12</definedName>
    <definedName name="VSTS_ValidationRange_eacd391ad1884d38afb8bd685b219843" hidden="1">[2]VSTS_ValidationWS_1!$J$1:$J$12</definedName>
    <definedName name="VSTS_ValidationRange_ebdec462a0d94b30b8d0370606f6f31b" localSheetId="1" hidden="1">[1]VSTS_ValidationWS_1!$M$1:$M$4</definedName>
    <definedName name="VSTS_ValidationRange_ebdec462a0d94b30b8d0370606f6f31b" localSheetId="0" hidden="1">[1]VSTS_ValidationWS_1!$M$1:$M$4</definedName>
    <definedName name="VSTS_ValidationRange_ebdec462a0d94b30b8d0370606f6f31b" hidden="1">[2]VSTS_ValidationWS_1!$M$1:$M$4</definedName>
    <definedName name="VSTS_ValidationRange_ee39aa634dc441868d3fd48da91bd48c" localSheetId="1" hidden="1">[1]VSTS_ValidationWS_1!$HM$1:$HM$8</definedName>
    <definedName name="VSTS_ValidationRange_ee39aa634dc441868d3fd48da91bd48c" localSheetId="0" hidden="1">[1]VSTS_ValidationWS_1!$HM$1:$HM$8</definedName>
    <definedName name="VSTS_ValidationRange_ee39aa634dc441868d3fd48da91bd48c" hidden="1">[2]VSTS_ValidationWS_1!$HM$1:$HM$8</definedName>
    <definedName name="VSTS_ValidationRange_fcf6e4574b3940bfa8aa11a3df32240c" localSheetId="1" hidden="1">[1]VSTS_ValidationWS_1!$HJ$1:$HJ$25</definedName>
    <definedName name="VSTS_ValidationRange_fcf6e4574b3940bfa8aa11a3df32240c" localSheetId="0" hidden="1">[1]VSTS_ValidationWS_1!$HJ$1:$HJ$25</definedName>
    <definedName name="VSTS_ValidationRange_fcf6e4574b3940bfa8aa11a3df32240c" hidden="1">[2]VSTS_ValidationWS_1!$HJ$1:$HJ$25</definedName>
    <definedName name="VSTS_ValidationRange_ff94f0c09ae941988d6b3ab43a7fa63f" localSheetId="1" hidden="1">[1]VSTS_ValidationWS_1!$H$1:$H$3</definedName>
    <definedName name="VSTS_ValidationRange_ff94f0c09ae941988d6b3ab43a7fa63f" localSheetId="0" hidden="1">[1]VSTS_ValidationWS_1!$H$1:$H$3</definedName>
    <definedName name="VSTS_ValidationRange_ff94f0c09ae941988d6b3ab43a7fa63f" hidden="1">[2]VSTS_ValidationWS_1!$H$1:$H$3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21" l="1"/>
  <c r="J55" i="21"/>
  <c r="J49" i="21"/>
  <c r="K75" i="21"/>
  <c r="I75" i="21"/>
  <c r="K74" i="21"/>
  <c r="I74" i="21"/>
  <c r="K73" i="21"/>
  <c r="I73" i="21"/>
  <c r="K72" i="21"/>
  <c r="I72" i="21"/>
  <c r="K71" i="21"/>
  <c r="I71" i="21"/>
  <c r="K68" i="21"/>
  <c r="I68" i="21"/>
  <c r="K67" i="21"/>
  <c r="I67" i="21"/>
  <c r="K66" i="21"/>
  <c r="I66" i="21"/>
  <c r="K65" i="21"/>
  <c r="I65" i="21"/>
  <c r="K64" i="21"/>
  <c r="I64" i="21"/>
  <c r="K50" i="21"/>
  <c r="J50" i="21"/>
  <c r="K49" i="21"/>
  <c r="K48" i="21"/>
  <c r="J48" i="21"/>
  <c r="K47" i="21"/>
  <c r="K46" i="21"/>
  <c r="J46" i="21"/>
  <c r="K43" i="21"/>
  <c r="K42" i="21"/>
  <c r="K41" i="21"/>
  <c r="J41" i="21"/>
  <c r="K38" i="21"/>
  <c r="K37" i="21"/>
  <c r="K34" i="21"/>
  <c r="K33" i="21"/>
  <c r="J33" i="21"/>
  <c r="K31" i="21"/>
  <c r="J31" i="21"/>
  <c r="K28" i="21"/>
  <c r="J28" i="21"/>
  <c r="K27" i="21"/>
  <c r="K24" i="21"/>
  <c r="J24" i="21"/>
  <c r="K23" i="21"/>
  <c r="J23" i="21"/>
  <c r="K22" i="21"/>
  <c r="J22" i="21"/>
  <c r="K21" i="21"/>
  <c r="J21" i="21"/>
  <c r="K20" i="21"/>
  <c r="K19" i="21"/>
  <c r="J19" i="21"/>
  <c r="K18" i="21"/>
  <c r="J18" i="21"/>
  <c r="K17" i="21"/>
  <c r="J17" i="21"/>
  <c r="K14" i="21"/>
  <c r="K13" i="21"/>
  <c r="J13" i="21"/>
  <c r="K12" i="21"/>
  <c r="J12" i="21"/>
  <c r="K11" i="21"/>
  <c r="K8" i="21"/>
  <c r="K7" i="21"/>
  <c r="J7" i="21"/>
  <c r="J54" i="20"/>
  <c r="I74" i="20"/>
  <c r="I73" i="20"/>
  <c r="I72" i="20"/>
  <c r="I71" i="20"/>
  <c r="I70" i="20"/>
  <c r="I67" i="20"/>
  <c r="I66" i="20"/>
  <c r="I65" i="20"/>
  <c r="I64" i="20"/>
  <c r="I63" i="20"/>
  <c r="K74" i="20"/>
  <c r="K73" i="20"/>
  <c r="K72" i="20"/>
  <c r="K71" i="20"/>
  <c r="K70" i="20"/>
  <c r="K67" i="20"/>
  <c r="K66" i="20"/>
  <c r="K65" i="20"/>
  <c r="K64" i="20"/>
  <c r="K63" i="20"/>
  <c r="K45" i="20"/>
  <c r="K46" i="20"/>
  <c r="K47" i="20"/>
  <c r="K48" i="20"/>
  <c r="K49" i="20"/>
  <c r="K40" i="20"/>
  <c r="K41" i="20"/>
  <c r="K42" i="20"/>
  <c r="K43" i="20"/>
  <c r="K36" i="20"/>
  <c r="K37" i="20"/>
  <c r="K38" i="20"/>
  <c r="K31" i="20"/>
  <c r="K32" i="20"/>
  <c r="K33" i="20"/>
  <c r="K34" i="20"/>
  <c r="K27" i="20"/>
  <c r="K28" i="20"/>
  <c r="K17" i="20"/>
  <c r="K18" i="20"/>
  <c r="K19" i="20"/>
  <c r="K20" i="20"/>
  <c r="K21" i="20"/>
  <c r="K22" i="20"/>
  <c r="K23" i="20"/>
  <c r="K24" i="20"/>
  <c r="K11" i="20"/>
  <c r="K12" i="20"/>
  <c r="K13" i="20"/>
  <c r="K14" i="20"/>
  <c r="K7" i="20"/>
  <c r="K8" i="20"/>
  <c r="K9" i="20"/>
  <c r="K44" i="19"/>
  <c r="K45" i="19"/>
  <c r="K46" i="19"/>
  <c r="K47" i="19"/>
  <c r="K48" i="19"/>
  <c r="K39" i="19"/>
  <c r="K40" i="19"/>
  <c r="K41" i="19"/>
  <c r="K35" i="19"/>
  <c r="K36" i="19"/>
  <c r="K30" i="19"/>
  <c r="K31" i="19"/>
  <c r="K32" i="19"/>
  <c r="K26" i="19"/>
  <c r="K27" i="19"/>
  <c r="K16" i="19"/>
  <c r="K17" i="19"/>
  <c r="K18" i="19"/>
  <c r="K19" i="19"/>
  <c r="K20" i="19"/>
  <c r="K21" i="19"/>
  <c r="K22" i="19"/>
  <c r="K23" i="19"/>
  <c r="K10" i="19"/>
  <c r="K11" i="19"/>
  <c r="K12" i="19"/>
  <c r="K13" i="19"/>
  <c r="K6" i="19"/>
  <c r="K7" i="19"/>
  <c r="K28" i="19"/>
  <c r="J47" i="19"/>
  <c r="J48" i="19"/>
  <c r="J44" i="19"/>
  <c r="J45" i="19"/>
  <c r="J46" i="19"/>
  <c r="J39" i="19"/>
  <c r="J20" i="19"/>
  <c r="J32" i="21" l="1"/>
  <c r="J42" i="21"/>
  <c r="J38" i="21"/>
  <c r="K25" i="21"/>
  <c r="J20" i="21"/>
  <c r="J43" i="21"/>
  <c r="J47" i="21"/>
  <c r="J14" i="21"/>
  <c r="J34" i="21"/>
  <c r="J11" i="21"/>
  <c r="K76" i="21"/>
  <c r="J75" i="21"/>
  <c r="J74" i="21"/>
  <c r="J73" i="21"/>
  <c r="J72" i="21"/>
  <c r="J71" i="21"/>
  <c r="J76" i="21" s="1"/>
  <c r="K69" i="21"/>
  <c r="J68" i="21"/>
  <c r="J67" i="21"/>
  <c r="J66" i="21"/>
  <c r="J65" i="21"/>
  <c r="J64" i="21"/>
  <c r="K51" i="21"/>
  <c r="J51" i="21"/>
  <c r="J37" i="21"/>
  <c r="J39" i="21" s="1"/>
  <c r="K35" i="21"/>
  <c r="J27" i="21"/>
  <c r="J29" i="21" s="1"/>
  <c r="K44" i="21"/>
  <c r="J44" i="21"/>
  <c r="K39" i="21"/>
  <c r="J25" i="21"/>
  <c r="K15" i="21"/>
  <c r="K9" i="21"/>
  <c r="J8" i="21"/>
  <c r="J9" i="21" s="1"/>
  <c r="K29" i="21"/>
  <c r="J70" i="20"/>
  <c r="J72" i="20"/>
  <c r="K75" i="20"/>
  <c r="J74" i="20"/>
  <c r="J73" i="20"/>
  <c r="J71" i="20"/>
  <c r="K68" i="20"/>
  <c r="K77" i="20" s="1"/>
  <c r="K54" i="20" s="1"/>
  <c r="K56" i="20" s="1"/>
  <c r="K58" i="20" s="1"/>
  <c r="J65" i="20"/>
  <c r="J63" i="20"/>
  <c r="J67" i="20"/>
  <c r="J66" i="20"/>
  <c r="J64" i="20"/>
  <c r="K15" i="20"/>
  <c r="K50" i="20"/>
  <c r="K29" i="20"/>
  <c r="J42" i="20"/>
  <c r="J24" i="20"/>
  <c r="K25" i="20"/>
  <c r="J11" i="20"/>
  <c r="J12" i="20"/>
  <c r="J13" i="20"/>
  <c r="J7" i="20"/>
  <c r="J8" i="20"/>
  <c r="K49" i="19"/>
  <c r="J49" i="19"/>
  <c r="J23" i="19"/>
  <c r="J18" i="19"/>
  <c r="J17" i="19"/>
  <c r="J36" i="19"/>
  <c r="J32" i="19"/>
  <c r="J31" i="19"/>
  <c r="J30" i="19"/>
  <c r="J27" i="19"/>
  <c r="J26" i="19"/>
  <c r="J28" i="19" s="1"/>
  <c r="J22" i="19"/>
  <c r="J21" i="19"/>
  <c r="J45" i="20"/>
  <c r="J46" i="20"/>
  <c r="J47" i="20"/>
  <c r="J48" i="20"/>
  <c r="J49" i="20"/>
  <c r="J40" i="20"/>
  <c r="J41" i="20"/>
  <c r="J36" i="20"/>
  <c r="J37" i="20"/>
  <c r="J31" i="20"/>
  <c r="J32" i="20"/>
  <c r="J33" i="20"/>
  <c r="J27" i="20"/>
  <c r="J28" i="20"/>
  <c r="J17" i="20"/>
  <c r="J18" i="20"/>
  <c r="J19" i="20"/>
  <c r="J20" i="20"/>
  <c r="J21" i="20"/>
  <c r="J22" i="20"/>
  <c r="J23" i="20"/>
  <c r="K42" i="19"/>
  <c r="J41" i="19"/>
  <c r="J40" i="19"/>
  <c r="J7" i="19"/>
  <c r="J19" i="19"/>
  <c r="J13" i="19"/>
  <c r="J12" i="19"/>
  <c r="J11" i="19"/>
  <c r="J10" i="19"/>
  <c r="K14" i="19"/>
  <c r="K33" i="19"/>
  <c r="K37" i="19"/>
  <c r="J35" i="19"/>
  <c r="K24" i="19"/>
  <c r="J16" i="19"/>
  <c r="K8" i="19"/>
  <c r="K51" i="19" s="1"/>
  <c r="J6" i="19"/>
  <c r="J35" i="21" l="1"/>
  <c r="K78" i="21"/>
  <c r="J69" i="21"/>
  <c r="J78" i="21" s="1"/>
  <c r="J15" i="21"/>
  <c r="K53" i="21"/>
  <c r="K57" i="21" s="1"/>
  <c r="J75" i="20"/>
  <c r="J68" i="20"/>
  <c r="K52" i="20"/>
  <c r="J15" i="20"/>
  <c r="J50" i="20"/>
  <c r="J25" i="20"/>
  <c r="J43" i="20"/>
  <c r="J33" i="19"/>
  <c r="J37" i="19"/>
  <c r="J9" i="20"/>
  <c r="J38" i="20"/>
  <c r="J34" i="20"/>
  <c r="J29" i="20"/>
  <c r="J42" i="19"/>
  <c r="J24" i="19"/>
  <c r="J8" i="19"/>
  <c r="J51" i="19" s="1"/>
  <c r="J14" i="19"/>
  <c r="J53" i="21" l="1"/>
  <c r="J57" i="21" s="1"/>
  <c r="K59" i="21"/>
  <c r="K85" i="21"/>
  <c r="J77" i="20"/>
  <c r="J56" i="20" s="1"/>
  <c r="J58" i="20" s="1"/>
  <c r="J60" i="20" s="1"/>
  <c r="J52" i="20"/>
  <c r="J59" i="21" l="1"/>
  <c r="J61" i="21" s="1"/>
  <c r="J8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tc={EFDBE694-9090-4A99-B72A-9D1949595472}</author>
    <author>tc={6762D6E8-AD74-4ADE-A462-B2A7C6EF6390}</author>
  </authors>
  <commentList>
    <comment ref="C31" authorId="0" shapeId="0" xr:uid="{EFDBE694-9090-4A99-B72A-9D194959547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discuss if PD should have some hours in here.</t>
      </text>
    </comment>
    <comment ref="P41" authorId="1" shapeId="0" xr:uid="{6762D6E8-AD74-4ADE-A462-B2A7C6EF63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@Raj Goel - for the 2 agents and a limited group  of 40 pilot users, hours can be reduced or are we establishing a champions network and building the strategy and plan they can use for future agents?
Reply:
    Yes ACM team is activating champions network, that will be utilized for future agent adoption tasks, and an adoption strategy for agent adoption in addition to adoption of in-scope agents.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tc={B7085B7D-5C49-4A16-8A94-A08B3CD87D82}</author>
  </authors>
  <commentList>
    <comment ref="P40" authorId="0" shapeId="0" xr:uid="{B7085B7D-5C49-4A16-8A94-A08B3CD87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@Raj Goel - for the 2 agents and a limited group  of 40 pilot users, hours can be reduced or are we establishing a champions network and building the strategy and plan they can use for future agents?
Reply:
    Yes ACM team is activating champions network, that will be utilized for future agent adoption tasks, and an adoption strategy for agent adoption in addition to adoption of in-scope agents. </t>
      </text>
    </comment>
  </commentList>
</comments>
</file>

<file path=xl/sharedStrings.xml><?xml version="1.0" encoding="utf-8"?>
<sst xmlns="http://schemas.openxmlformats.org/spreadsheetml/2006/main" count="763" uniqueCount="92">
  <si>
    <t>Area</t>
  </si>
  <si>
    <t>Role</t>
  </si>
  <si>
    <t>Project Role</t>
  </si>
  <si>
    <t>Location</t>
  </si>
  <si>
    <t>Country</t>
  </si>
  <si>
    <t>Partner</t>
  </si>
  <si>
    <t>Bill Rate</t>
  </si>
  <si>
    <t>Bill Total</t>
  </si>
  <si>
    <t>Hours</t>
  </si>
  <si>
    <t>Mobilize &amp; Initiate</t>
  </si>
  <si>
    <t>Senior Consultant</t>
  </si>
  <si>
    <t>Onshore</t>
  </si>
  <si>
    <t>USA</t>
  </si>
  <si>
    <t>Microsoft</t>
  </si>
  <si>
    <t>Consultant</t>
  </si>
  <si>
    <t>Functional Support</t>
  </si>
  <si>
    <t>Offshore</t>
  </si>
  <si>
    <t>India</t>
  </si>
  <si>
    <t>Delivery Mgmt. Executive</t>
  </si>
  <si>
    <t>Delivery Management</t>
  </si>
  <si>
    <t>Onsite Project Manager</t>
  </si>
  <si>
    <t>Domain Solution Architect</t>
  </si>
  <si>
    <t>Delivery Support</t>
  </si>
  <si>
    <t>TOTAL</t>
  </si>
  <si>
    <t>Solution Modeling, Build, Test, &amp; Deploy</t>
  </si>
  <si>
    <t>AIBS</t>
  </si>
  <si>
    <t>EAG</t>
  </si>
  <si>
    <t>IGD</t>
  </si>
  <si>
    <t>TQA</t>
  </si>
  <si>
    <t>Infrastructure Support</t>
  </si>
  <si>
    <t>Release Manager - Devops / LLMOps</t>
  </si>
  <si>
    <t>Project Delivery Support</t>
  </si>
  <si>
    <t>Senior Project Manager</t>
  </si>
  <si>
    <t>Project Manager</t>
  </si>
  <si>
    <t>Offshore Project Manager</t>
  </si>
  <si>
    <t>Solution Architect - AIBS</t>
  </si>
  <si>
    <t>Solution Architect - TQA</t>
  </si>
  <si>
    <t>Delivery Compliance, Privacy and Security</t>
  </si>
  <si>
    <t>Infosec Consultant</t>
  </si>
  <si>
    <t>Security Architect</t>
  </si>
  <si>
    <t>Data Engineer (Ingestion- Integration)</t>
  </si>
  <si>
    <t>Integration Architect</t>
  </si>
  <si>
    <t>Functional Lead  / Delivery Architect</t>
  </si>
  <si>
    <t>Solution Architect - IGD</t>
  </si>
  <si>
    <t>Architecture Support</t>
  </si>
  <si>
    <t>Lead Developer ( 100% Lead)</t>
  </si>
  <si>
    <t>2 Weeks</t>
  </si>
  <si>
    <t>Test Lead / Tester</t>
  </si>
  <si>
    <t>Copilot / Foundry Developer</t>
  </si>
  <si>
    <t>Power Automate Developer</t>
  </si>
  <si>
    <t>Modern Apps Developer (HITL)</t>
  </si>
  <si>
    <t>Development Support</t>
  </si>
  <si>
    <t>Infrastructure/Environment Support</t>
  </si>
  <si>
    <t>Functional Consultant (Co-Pilot) - Sales / Service / Finance / Ops etc.</t>
  </si>
  <si>
    <t>12 Weeks</t>
  </si>
  <si>
    <t>Adoption, Change and Services Management</t>
  </si>
  <si>
    <t>ACSM Architect</t>
  </si>
  <si>
    <t>ACM</t>
  </si>
  <si>
    <t>ACM Con (Demos)</t>
  </si>
  <si>
    <t xml:space="preserve">Senior Consultant </t>
  </si>
  <si>
    <t>ACM Sr Con (Agent Adoption)</t>
  </si>
  <si>
    <t>Sr. Domain Solution Architect</t>
  </si>
  <si>
    <t>Security</t>
  </si>
  <si>
    <t>Security Consultant</t>
  </si>
  <si>
    <t>AI Security Foundations</t>
  </si>
  <si>
    <t>Agentic SOC</t>
  </si>
  <si>
    <t>Lead Developer ( 50% Lead)</t>
  </si>
  <si>
    <t>Security Support</t>
  </si>
  <si>
    <t>KPMG</t>
  </si>
  <si>
    <t>TZ</t>
  </si>
  <si>
    <t>Delta</t>
  </si>
  <si>
    <t>Functional Consultant (Co-Pilot)</t>
  </si>
  <si>
    <t>Program Dir</t>
  </si>
  <si>
    <t>Sr PM</t>
  </si>
  <si>
    <t>Tech Consultant</t>
  </si>
  <si>
    <t>Offshore Tech Consultant</t>
  </si>
  <si>
    <t>Fx-SME</t>
  </si>
  <si>
    <t>AI-SME</t>
  </si>
  <si>
    <t>Agent Delivery</t>
  </si>
  <si>
    <t>KPMG
Prototype
Use Case 1</t>
  </si>
  <si>
    <t>KPMG
Prototype
Use Case 2</t>
  </si>
  <si>
    <t>Use Case 1 Support</t>
  </si>
  <si>
    <t>Use Case 2 Support</t>
  </si>
  <si>
    <t>KPMG Total</t>
  </si>
  <si>
    <t>TOTAL (ESWO)</t>
  </si>
  <si>
    <t>TOTAL (MS)</t>
  </si>
  <si>
    <t>TOTAL (KPMG)</t>
  </si>
  <si>
    <t>AIBS Portion (-Security)</t>
  </si>
  <si>
    <t>IGD Offshore Security Consultant</t>
  </si>
  <si>
    <t>Travel</t>
  </si>
  <si>
    <t>TOTAL (ESWO + Travel)</t>
  </si>
  <si>
    <t>Program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</si>
</sst>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E02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164" fontId="3" fillId="8" borderId="1" xfId="1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 indent="1"/>
    </xf>
    <xf numFmtId="0" fontId="3" fillId="12" borderId="1" xfId="0" applyFont="1" applyFill="1" applyBorder="1" applyAlignment="1">
      <alignment horizontal="left" vertical="center" indent="1"/>
    </xf>
    <xf numFmtId="0" fontId="3" fillId="12" borderId="1" xfId="0" applyFont="1" applyFill="1" applyBorder="1" applyAlignment="1">
      <alignment horizontal="center" vertical="center"/>
    </xf>
    <xf numFmtId="165" fontId="3" fillId="12" borderId="1" xfId="1" applyNumberFormat="1" applyFont="1" applyFill="1" applyBorder="1" applyAlignment="1">
      <alignment horizontal="center" vertical="center"/>
    </xf>
    <xf numFmtId="164" fontId="3" fillId="12" borderId="1" xfId="1" applyNumberFormat="1" applyFont="1" applyFill="1" applyBorder="1" applyAlignment="1">
      <alignment horizontal="center" vertical="center"/>
    </xf>
    <xf numFmtId="0" fontId="0" fillId="12" borderId="1" xfId="0" applyFill="1" applyBorder="1"/>
    <xf numFmtId="0" fontId="4" fillId="1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1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indent="1"/>
    </xf>
    <xf numFmtId="164" fontId="2" fillId="14" borderId="1" xfId="1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15" fontId="2" fillId="3" borderId="1" xfId="0" applyNumberFormat="1" applyFont="1" applyFill="1" applyBorder="1" applyAlignment="1">
      <alignment horizontal="center" vertical="center" wrapText="1"/>
    </xf>
    <xf numFmtId="15" fontId="2" fillId="1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7" borderId="9" xfId="0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right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documenttasks/documenttask1.xml><?xml version="1.0" encoding="utf-8"?>
<Tasks xmlns="http://schemas.microsoft.com/office/tasks/2019/documenttasks">
  <Task id="{4BE61BF0-8AB0-4E6F-BAEE-C161B06066CD}">
    <Anchor>
      <Comment id="{6762D6E8-AD74-4ADE-A462-B2A7C6EF6390}"/>
    </Anchor>
    <History>
      <Event time="2026-05-27T02:05:52.20" id="{C3A3237B-EF04-4913-8AFC-E69A864CF901}">
        <Attribution userId="S::rehunter@microsoft.com::7cf8ee63-edad-41c2-a69e-17aa251289ab" userName="Renee Hunter" userProvider="AD"/>
        <Anchor>
          <Comment id="{6762D6E8-AD74-4ADE-A462-B2A7C6EF6390}"/>
        </Anchor>
        <Create/>
      </Event>
      <Event time="2026-05-27T02:05:52.20" id="{2BFD3A20-C26F-4C9E-9FC7-21E48706A7EF}">
        <Attribution userId="S::rehunter@microsoft.com::7cf8ee63-edad-41c2-a69e-17aa251289ab" userName="Renee Hunter" userProvider="AD"/>
        <Anchor>
          <Comment id="{6762D6E8-AD74-4ADE-A462-B2A7C6EF6390}"/>
        </Anchor>
        <Assign userId="S::rajgoel@microsoft.com::2de2bf04-b164-4da8-ac67-6ec1b05e09c5" userName="Raj Goel" userProvider="AD"/>
      </Event>
      <Event time="2026-05-27T02:05:52.20" id="{72D0FD30-50FB-4B9E-A186-1F52435948F4}">
        <Attribution userId="S::rehunter@microsoft.com::7cf8ee63-edad-41c2-a69e-17aa251289ab" userName="Renee Hunter" userProvider="AD"/>
        <Anchor>
          <Comment id="{6762D6E8-AD74-4ADE-A462-B2A7C6EF6390}"/>
        </Anchor>
        <SetTitle title="@Raj Goel - for the 2 agents and a limited group of 40 pilot users, hours can be reduced or are we establishing a champions network and building the strategy and plan they can use for future agents?"/>
      </Event>
    </History>
  </Task>
</Tasks>
</file>

<file path=xl/documenttasks/documenttask2.xml><?xml version="1.0" encoding="utf-8"?>
<Tasks xmlns="http://schemas.microsoft.com/office/tasks/2019/documenttasks">
  <Task id="{6201E4B0-914A-43DD-8DA9-338AD1475F94}">
    <Anchor>
      <Comment id="{B7085B7D-5C49-4A16-8A94-A08B3CD87D82}"/>
    </Anchor>
    <History>
      <Event time="2026-05-27T02:05:52.20" id="{C3A3237B-EF04-4913-8AFC-E69A864CF901}">
        <Attribution userId="S::rehunter@microsoft.com::7cf8ee63-edad-41c2-a69e-17aa251289ab" userName="Renee Hunter" userProvider="AD"/>
        <Anchor>
          <Comment id="{B7085B7D-5C49-4A16-8A94-A08B3CD87D82}"/>
        </Anchor>
        <Create/>
      </Event>
      <Event time="2026-05-27T02:05:52.20" id="{2BFD3A20-C26F-4C9E-9FC7-21E48706A7EF}">
        <Attribution userId="S::rehunter@microsoft.com::7cf8ee63-edad-41c2-a69e-17aa251289ab" userName="Renee Hunter" userProvider="AD"/>
        <Anchor>
          <Comment id="{B7085B7D-5C49-4A16-8A94-A08B3CD87D82}"/>
        </Anchor>
        <Assign userId="S::rajgoel@microsoft.com::2de2bf04-b164-4da8-ac67-6ec1b05e09c5" userName="Raj Goel" userProvider="AD"/>
      </Event>
      <Event time="2026-05-27T02:05:52.20" id="{72D0FD30-50FB-4B9E-A186-1F52435948F4}">
        <Attribution userId="S::rehunter@microsoft.com::7cf8ee63-edad-41c2-a69e-17aa251289ab" userName="Renee Hunter" userProvider="AD"/>
        <Anchor>
          <Comment id="{B7085B7D-5C49-4A16-8A94-A08B3CD87D82}"/>
        </Anchor>
        <SetTitle title="@Raj Goel - for the 2 agents and a limited group of 40 pilot users, hours can be reduced or are we establishing a champions network and building the strategy and plan they can use for future agent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367393</xdr:colOff>
      <xdr:row>50</xdr:row>
      <xdr:rowOff>204107</xdr:rowOff>
    </xdr:from>
    <xdr:to>
      <xdr:col>35</xdr:col>
      <xdr:colOff>55832</xdr:colOff>
      <xdr:row>94</xdr:row>
      <xdr:rowOff>187357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448233F-CE76-4F6B-10AE-8BA691BE3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37822" y="12096750"/>
          <a:ext cx="9934617" cy="45960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s%20Desktop\Desktop%202022\Projects\Clients%20and%20Prospect\Leggett\Architecture\Test%20Strategy\Test%20Execution\E2E\Round%202\E03-End%20to%20End%20R2-March2-20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s%20Desktop/Desktop%202022/Projects/Clients%20and%20Prospect/Leggett/Architecture/Test%20Strategy/Test%20Execution/E2E/Round%202/E03-End%20to%20End%20R2-March2-2020.xlsx" TargetMode="External"/><Relationship Id="rId1" Type="http://schemas.openxmlformats.org/officeDocument/2006/relationships/externalLinkPath" Target="/Ms%20Desktop/Desktop%202022/Projects/Clients%20and%20Prospect/Leggett/Architecture/Test%20Strategy/Test%20Execution/E2E/Round%202/E03-End%20to%20End%20R2-March2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TS_ValidationWS_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1 - Overview"/>
      <sheetName val="R1 - Overview - Bugs"/>
      <sheetName val="E2E-S1"/>
      <sheetName val="PT Defects - Active"/>
      <sheetName val="PT Defects - Resolved"/>
      <sheetName val="E2E-S2"/>
      <sheetName val="E2E-S3"/>
      <sheetName val="E2E-S4"/>
      <sheetName val="E2E-S5"/>
      <sheetName val="E2E-S6"/>
      <sheetName val="E2E-S7"/>
      <sheetName val="E2E-S8"/>
      <sheetName val="E2E-S9"/>
      <sheetName val="E2E-S10"/>
      <sheetName val="Forms"/>
      <sheetName val="E2E-Results"/>
      <sheetName val="Active Bugs by severity"/>
      <sheetName val="VSTS Source-Defects"/>
      <sheetName val="VSTS-Source-Defects-PT"/>
      <sheetName val="VSTS-Source-Defects-FT"/>
      <sheetName val="ProcessAreasCycles"/>
      <sheetName val="VSTS_ValidationWS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j Goel" id="{048DE8AB-E519-4EC5-85D2-367299E83A82}" userId="rajgoel@microsoft.com" providerId="PeoplePicker"/>
  <person displayName="Raj Goel" id="{958A5111-FD97-416F-9179-87F343615A42}" userId="S::rajgoel@microsoft.com::2de2bf04-b164-4da8-ac67-6ec1b05e09c5" providerId="AD"/>
  <person displayName="Renee Hunter" id="{26F3ED9C-8F80-4C46-A29B-FC12B4E31F96}" userId="S::rehunter@microsoft.com::7cf8ee63-edad-41c2-a69e-17aa251289ab" providerId="AD"/>
  <person displayName="Wayne Schmoyer" id="{787CF2F4-3303-4821-BA3C-F83C4756E868}" userId="S::waschmoy@microsoft.com::b84f0ffc-7d1b-4c0a-97c2-a0d5a0d5b27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1" dT="2026-06-03T21:34:25.88" personId="{787CF2F4-3303-4821-BA3C-F83C4756E868}" id="{EFDBE694-9090-4A99-B72A-9D1949595472}">
    <text>Need to discuss if PD should have some hours in here.</text>
  </threadedComment>
  <threadedComment ref="P41" dT="2026-05-27T02:05:52.20" personId="{26F3ED9C-8F80-4C46-A29B-FC12B4E31F96}" id="{6762D6E8-AD74-4ADE-A462-B2A7C6EF6390}">
    <text>@Raj Goel - for the 2 agents and a limited group  of 40 pilot users, hours can be reduced or are we establishing a champions network and building the strategy and plan they can use for future agents?</text>
    <mentions>
      <mention mentionpersonId="{048DE8AB-E519-4EC5-85D2-367299E83A82}" mentionId="{A68724BD-C789-46D7-B27B-4D208D75BC4E}" startIndex="0" length="9"/>
    </mentions>
  </threadedComment>
  <threadedComment ref="P41" dT="2026-05-27T11:47:54.90" personId="{958A5111-FD97-416F-9179-87F343615A42}" id="{0BC72423-7256-4383-B5F1-E1F726937848}" parentId="{6762D6E8-AD74-4ADE-A462-B2A7C6EF6390}">
    <text xml:space="preserve">Yes ACM team is activating champions network, that will be utilized for future agent adoption tasks, and an adoption strategy for agent adoption in addition to adoption of in-scope agents.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40" dT="2026-05-27T02:05:52.20" personId="{26F3ED9C-8F80-4C46-A29B-FC12B4E31F96}" id="{B7085B7D-5C49-4A16-8A94-A08B3CD87D82}">
    <text>@Raj Goel - for the 2 agents and a limited group  of 40 pilot users, hours can be reduced or are we establishing a champions network and building the strategy and plan they can use for future agents?</text>
    <mentions>
      <mention mentionpersonId="{048DE8AB-E519-4EC5-85D2-367299E83A82}" mentionId="{60CA36B7-9603-4AC0-A4FC-574A35BFCABF}" startIndex="0" length="9"/>
    </mentions>
  </threadedComment>
  <threadedComment ref="P40" dT="2026-05-27T11:47:54.90" personId="{958A5111-FD97-416F-9179-87F343615A42}" id="{78091AFA-63EA-45CA-89DF-578B73029656}" parentId="{B7085B7D-5C49-4A16-8A94-A08B3CD87D82}">
    <text xml:space="preserve">Yes ACM team is activating champions network, that will be utilized for future agent adoption tasks, and an adoption strategy for agent adoption in addition to adoption of in-scope agents.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F96E-15AB-4CEA-8406-E5C33C889368}">
  <dimension ref="A2:AN85"/>
  <sheetViews>
    <sheetView tabSelected="1" zoomScale="70" zoomScaleNormal="70" workbookViewId="0">
      <pane ySplit="5" topLeftCell="A6" activePane="bottomLeft" state="frozen"/>
      <selection pane="bottomLeft" activeCell="E53" sqref="E53"/>
    </sheetView>
  </sheetViews>
  <sheetFormatPr defaultColWidth="8.85546875" defaultRowHeight="15" x14ac:dyDescent="0.25"/>
  <cols>
    <col min="1" max="1" width="3.140625" style="3" customWidth="1"/>
    <col min="2" max="2" width="22.7109375" style="28" customWidth="1"/>
    <col min="3" max="3" width="36.85546875" style="1" bestFit="1" customWidth="1"/>
    <col min="4" max="4" width="12.140625" style="1" bestFit="1" customWidth="1"/>
    <col min="5" max="5" width="46.7109375" style="1" bestFit="1" customWidth="1"/>
    <col min="6" max="6" width="15" style="2" hidden="1" customWidth="1"/>
    <col min="7" max="7" width="13.42578125" style="2" hidden="1" customWidth="1"/>
    <col min="8" max="8" width="15.42578125" style="3" hidden="1" customWidth="1"/>
    <col min="9" max="9" width="14.140625" style="3" hidden="1" customWidth="1"/>
    <col min="10" max="10" width="14.42578125" style="3" hidden="1" customWidth="1"/>
    <col min="11" max="11" width="10.5703125" style="3" customWidth="1"/>
    <col min="12" max="12" width="1.7109375" style="3" customWidth="1"/>
    <col min="13" max="14" width="11.85546875" style="3" customWidth="1"/>
    <col min="15" max="15" width="2.7109375" style="3" customWidth="1"/>
    <col min="16" max="17" width="10.7109375" style="3" bestFit="1" customWidth="1"/>
    <col min="18" max="23" width="4.85546875" style="3" customWidth="1"/>
    <col min="24" max="24" width="5.28515625" style="3" customWidth="1"/>
    <col min="25" max="25" width="4.85546875" style="3" customWidth="1"/>
    <col min="26" max="26" width="5.28515625" style="3" customWidth="1"/>
    <col min="27" max="27" width="11.7109375" style="3" bestFit="1" customWidth="1"/>
    <col min="28" max="28" width="2.7109375" style="3" customWidth="1"/>
    <col min="29" max="29" width="5.28515625" style="3" customWidth="1"/>
    <col min="30" max="30" width="14.140625" style="3" customWidth="1"/>
    <col min="31" max="32" width="5.28515625" style="3" customWidth="1"/>
    <col min="33" max="33" width="5.85546875" style="3" customWidth="1"/>
    <col min="34" max="38" width="5.28515625" style="3" customWidth="1"/>
    <col min="39" max="39" width="5.85546875" style="3" customWidth="1"/>
    <col min="40" max="40" width="14.28515625" style="3" customWidth="1"/>
    <col min="41" max="16384" width="8.85546875" style="3"/>
  </cols>
  <sheetData>
    <row r="2" spans="2:40" s="2" customFormat="1" ht="18.75" x14ac:dyDescent="0.25">
      <c r="B2" s="4" t="s">
        <v>0</v>
      </c>
      <c r="C2" s="4" t="s">
        <v>1</v>
      </c>
      <c r="D2" s="4" t="s">
        <v>0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5" t="s">
        <v>7</v>
      </c>
      <c r="K2" s="4" t="s">
        <v>8</v>
      </c>
      <c r="M2" s="4">
        <v>1</v>
      </c>
      <c r="N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C2" s="4">
        <v>15</v>
      </c>
      <c r="AD2" s="4">
        <v>16</v>
      </c>
      <c r="AE2" s="4">
        <v>17</v>
      </c>
      <c r="AF2" s="4">
        <v>18</v>
      </c>
      <c r="AG2" s="4">
        <v>19</v>
      </c>
      <c r="AH2" s="4">
        <v>20</v>
      </c>
      <c r="AI2" s="4">
        <v>21</v>
      </c>
      <c r="AJ2" s="4">
        <v>22</v>
      </c>
      <c r="AK2" s="4">
        <v>23</v>
      </c>
      <c r="AL2" s="4">
        <v>24</v>
      </c>
      <c r="AM2" s="4">
        <v>25</v>
      </c>
      <c r="AN2" s="4">
        <v>26</v>
      </c>
    </row>
    <row r="3" spans="2:40" ht="18.75" x14ac:dyDescent="0.25">
      <c r="F3" s="6"/>
      <c r="G3" s="6"/>
      <c r="H3" s="6"/>
      <c r="I3" s="6"/>
      <c r="J3" s="6"/>
      <c r="K3" s="6"/>
      <c r="M3" s="48" t="s">
        <v>9</v>
      </c>
      <c r="N3" s="48"/>
      <c r="P3" s="49" t="s">
        <v>24</v>
      </c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</row>
    <row r="4" spans="2:40" ht="18.75" x14ac:dyDescent="0.25">
      <c r="F4" s="6"/>
      <c r="G4" s="6"/>
      <c r="H4" s="6"/>
      <c r="I4" s="6"/>
      <c r="J4" s="6"/>
      <c r="K4" s="6"/>
      <c r="M4" s="41">
        <v>46216</v>
      </c>
      <c r="N4" s="41">
        <v>46223</v>
      </c>
      <c r="P4" s="42">
        <v>46230</v>
      </c>
      <c r="Q4" s="42">
        <v>46237</v>
      </c>
      <c r="R4" s="42">
        <v>46244</v>
      </c>
      <c r="S4" s="42">
        <v>46251</v>
      </c>
      <c r="T4" s="42">
        <v>46258</v>
      </c>
      <c r="U4" s="42">
        <v>46265</v>
      </c>
      <c r="V4" s="42">
        <v>46272</v>
      </c>
      <c r="W4" s="42">
        <v>46279</v>
      </c>
      <c r="X4" s="42">
        <v>46286</v>
      </c>
      <c r="Y4" s="42">
        <v>46293</v>
      </c>
      <c r="Z4" s="42">
        <v>46300</v>
      </c>
      <c r="AA4" s="42">
        <v>46307</v>
      </c>
      <c r="AB4" s="40"/>
      <c r="AC4" s="42">
        <v>46314</v>
      </c>
      <c r="AD4" s="42">
        <v>46321</v>
      </c>
      <c r="AE4" s="42">
        <v>46328</v>
      </c>
      <c r="AF4" s="42">
        <v>46335</v>
      </c>
      <c r="AG4" s="42">
        <v>46342</v>
      </c>
      <c r="AH4" s="42">
        <v>46349</v>
      </c>
      <c r="AI4" s="42">
        <v>46356</v>
      </c>
      <c r="AJ4" s="42">
        <v>46363</v>
      </c>
      <c r="AK4" s="42">
        <v>46370</v>
      </c>
      <c r="AL4" s="42">
        <v>46377</v>
      </c>
      <c r="AM4" s="42">
        <v>46384</v>
      </c>
      <c r="AN4" s="42">
        <v>46391</v>
      </c>
    </row>
    <row r="5" spans="2:40" ht="18.75" x14ac:dyDescent="0.25">
      <c r="F5" s="6"/>
      <c r="G5" s="6"/>
      <c r="H5" s="6"/>
      <c r="I5" s="6"/>
      <c r="J5" s="6"/>
      <c r="K5" s="6"/>
      <c r="M5" s="50" t="s">
        <v>46</v>
      </c>
      <c r="N5" s="50"/>
      <c r="P5" s="50" t="s">
        <v>54</v>
      </c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C5" s="50" t="s">
        <v>54</v>
      </c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</row>
    <row r="6" spans="2:40" x14ac:dyDescent="0.25">
      <c r="B6" s="3"/>
      <c r="C6" s="3"/>
      <c r="D6" s="3"/>
      <c r="E6" s="3"/>
      <c r="F6" s="3"/>
      <c r="G6" s="3"/>
    </row>
    <row r="7" spans="2:40" ht="18.75" x14ac:dyDescent="0.25">
      <c r="B7" s="46" t="s">
        <v>15</v>
      </c>
      <c r="C7" s="7" t="s">
        <v>10</v>
      </c>
      <c r="D7" s="7" t="s">
        <v>25</v>
      </c>
      <c r="E7" s="7" t="s">
        <v>42</v>
      </c>
      <c r="F7" s="8" t="s">
        <v>11</v>
      </c>
      <c r="G7" s="8" t="s">
        <v>12</v>
      </c>
      <c r="H7" s="8" t="s">
        <v>13</v>
      </c>
      <c r="I7" s="19">
        <v>379.6</v>
      </c>
      <c r="J7" s="9">
        <f>K7*I7</f>
        <v>394784</v>
      </c>
      <c r="K7" s="8">
        <f>SUM(M7:AN7)</f>
        <v>1040</v>
      </c>
      <c r="M7" s="10">
        <v>40</v>
      </c>
      <c r="N7" s="10">
        <v>40</v>
      </c>
      <c r="P7" s="11">
        <v>40</v>
      </c>
      <c r="Q7" s="11">
        <v>40</v>
      </c>
      <c r="R7" s="11">
        <v>40</v>
      </c>
      <c r="S7" s="11">
        <v>40</v>
      </c>
      <c r="T7" s="11">
        <v>40</v>
      </c>
      <c r="U7" s="11">
        <v>40</v>
      </c>
      <c r="V7" s="11">
        <v>40</v>
      </c>
      <c r="W7" s="11">
        <v>40</v>
      </c>
      <c r="X7" s="11">
        <v>40</v>
      </c>
      <c r="Y7" s="11">
        <v>40</v>
      </c>
      <c r="Z7" s="11">
        <v>40</v>
      </c>
      <c r="AA7" s="11">
        <v>40</v>
      </c>
      <c r="AC7" s="11">
        <v>40</v>
      </c>
      <c r="AD7" s="11">
        <v>40</v>
      </c>
      <c r="AE7" s="11">
        <v>40</v>
      </c>
      <c r="AF7" s="11">
        <v>40</v>
      </c>
      <c r="AG7" s="11">
        <v>40</v>
      </c>
      <c r="AH7" s="11">
        <v>40</v>
      </c>
      <c r="AI7" s="11">
        <v>40</v>
      </c>
      <c r="AJ7" s="11">
        <v>40</v>
      </c>
      <c r="AK7" s="11">
        <v>40</v>
      </c>
      <c r="AL7" s="11">
        <v>40</v>
      </c>
      <c r="AM7" s="11">
        <v>40</v>
      </c>
      <c r="AN7" s="11">
        <v>40</v>
      </c>
    </row>
    <row r="8" spans="2:40" ht="18.75" hidden="1" x14ac:dyDescent="0.25">
      <c r="B8" s="46"/>
      <c r="C8" s="7" t="s">
        <v>10</v>
      </c>
      <c r="D8" s="7" t="s">
        <v>25</v>
      </c>
      <c r="E8" s="20" t="s">
        <v>71</v>
      </c>
      <c r="F8" s="8" t="s">
        <v>11</v>
      </c>
      <c r="G8" s="8" t="s">
        <v>12</v>
      </c>
      <c r="H8" s="8" t="s">
        <v>13</v>
      </c>
      <c r="I8" s="19">
        <v>379.6</v>
      </c>
      <c r="J8" s="9">
        <f>K8*I8</f>
        <v>0</v>
      </c>
      <c r="K8" s="8">
        <f>SUM(M8:AN8)</f>
        <v>0</v>
      </c>
      <c r="M8" s="18"/>
      <c r="N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2:40" ht="18.75" x14ac:dyDescent="0.25">
      <c r="B9" s="47" t="s">
        <v>15</v>
      </c>
      <c r="C9" s="47"/>
      <c r="D9" s="47"/>
      <c r="E9" s="47"/>
      <c r="F9" s="47"/>
      <c r="G9" s="47"/>
      <c r="H9" s="47"/>
      <c r="I9" s="47"/>
      <c r="J9" s="13">
        <f>SUM(J7:J8)</f>
        <v>394784</v>
      </c>
      <c r="K9" s="14">
        <f>SUM(K7:K8)</f>
        <v>1040</v>
      </c>
      <c r="M9" s="15"/>
      <c r="N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 spans="2:40" ht="18.75" x14ac:dyDescent="0.25">
      <c r="B10" s="43"/>
      <c r="C10" s="21"/>
      <c r="D10" s="21"/>
      <c r="E10" s="21"/>
      <c r="F10" s="22"/>
      <c r="G10" s="22"/>
      <c r="H10" s="22"/>
      <c r="I10" s="23"/>
      <c r="J10" s="24"/>
      <c r="K10" s="22"/>
      <c r="L10" s="25"/>
      <c r="M10" s="26"/>
      <c r="N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 spans="2:40" ht="18.75" x14ac:dyDescent="0.25">
      <c r="B11" s="46" t="s">
        <v>44</v>
      </c>
      <c r="C11" s="7" t="s">
        <v>21</v>
      </c>
      <c r="D11" s="7" t="s">
        <v>25</v>
      </c>
      <c r="E11" s="7" t="s">
        <v>35</v>
      </c>
      <c r="F11" s="8" t="s">
        <v>11</v>
      </c>
      <c r="G11" s="8" t="s">
        <v>12</v>
      </c>
      <c r="H11" s="8" t="s">
        <v>13</v>
      </c>
      <c r="I11" s="19">
        <v>421.2</v>
      </c>
      <c r="J11" s="9">
        <f>K11*I11</f>
        <v>155001.60000000001</v>
      </c>
      <c r="K11" s="8">
        <f>SUM(M11:AN11)</f>
        <v>368</v>
      </c>
      <c r="M11" s="10">
        <v>16</v>
      </c>
      <c r="N11" s="10">
        <v>16</v>
      </c>
      <c r="P11" s="11">
        <v>16</v>
      </c>
      <c r="Q11" s="11">
        <v>16</v>
      </c>
      <c r="R11" s="11">
        <v>16</v>
      </c>
      <c r="S11" s="11">
        <v>16</v>
      </c>
      <c r="T11" s="11">
        <v>16</v>
      </c>
      <c r="U11" s="11">
        <v>16</v>
      </c>
      <c r="V11" s="11">
        <v>16</v>
      </c>
      <c r="W11" s="11">
        <v>16</v>
      </c>
      <c r="X11" s="11">
        <v>16</v>
      </c>
      <c r="Y11" s="11">
        <v>16</v>
      </c>
      <c r="Z11" s="11">
        <v>16</v>
      </c>
      <c r="AA11" s="11">
        <v>16</v>
      </c>
      <c r="AC11" s="11">
        <v>12</v>
      </c>
      <c r="AD11" s="11">
        <v>12</v>
      </c>
      <c r="AE11" s="11">
        <v>12</v>
      </c>
      <c r="AF11" s="11">
        <v>12</v>
      </c>
      <c r="AG11" s="11">
        <v>12</v>
      </c>
      <c r="AH11" s="11">
        <v>12</v>
      </c>
      <c r="AI11" s="11">
        <v>12</v>
      </c>
      <c r="AJ11" s="11">
        <v>12</v>
      </c>
      <c r="AK11" s="11">
        <v>12</v>
      </c>
      <c r="AL11" s="11">
        <v>12</v>
      </c>
      <c r="AM11" s="11">
        <v>12</v>
      </c>
      <c r="AN11" s="11">
        <v>12</v>
      </c>
    </row>
    <row r="12" spans="2:40" ht="18.75" x14ac:dyDescent="0.25">
      <c r="B12" s="46"/>
      <c r="C12" s="7" t="s">
        <v>21</v>
      </c>
      <c r="D12" s="7" t="s">
        <v>27</v>
      </c>
      <c r="E12" s="7" t="s">
        <v>43</v>
      </c>
      <c r="F12" s="8" t="s">
        <v>16</v>
      </c>
      <c r="G12" s="27" t="s">
        <v>17</v>
      </c>
      <c r="H12" s="8" t="s">
        <v>13</v>
      </c>
      <c r="I12" s="19">
        <v>90</v>
      </c>
      <c r="J12" s="9">
        <f>K12*I12</f>
        <v>93600</v>
      </c>
      <c r="K12" s="8">
        <f>SUM(M12:AN12)</f>
        <v>1040</v>
      </c>
      <c r="M12" s="10">
        <v>40</v>
      </c>
      <c r="N12" s="10">
        <v>40</v>
      </c>
      <c r="P12" s="11">
        <v>40</v>
      </c>
      <c r="Q12" s="11">
        <v>40</v>
      </c>
      <c r="R12" s="11">
        <v>40</v>
      </c>
      <c r="S12" s="11">
        <v>40</v>
      </c>
      <c r="T12" s="11">
        <v>40</v>
      </c>
      <c r="U12" s="11">
        <v>40</v>
      </c>
      <c r="V12" s="11">
        <v>40</v>
      </c>
      <c r="W12" s="11">
        <v>40</v>
      </c>
      <c r="X12" s="11">
        <v>40</v>
      </c>
      <c r="Y12" s="11">
        <v>40</v>
      </c>
      <c r="Z12" s="11">
        <v>40</v>
      </c>
      <c r="AA12" s="11">
        <v>40</v>
      </c>
      <c r="AC12" s="11">
        <v>40</v>
      </c>
      <c r="AD12" s="11">
        <v>40</v>
      </c>
      <c r="AE12" s="11">
        <v>40</v>
      </c>
      <c r="AF12" s="11">
        <v>40</v>
      </c>
      <c r="AG12" s="11">
        <v>40</v>
      </c>
      <c r="AH12" s="11">
        <v>40</v>
      </c>
      <c r="AI12" s="11">
        <v>40</v>
      </c>
      <c r="AJ12" s="11">
        <v>40</v>
      </c>
      <c r="AK12" s="11">
        <v>40</v>
      </c>
      <c r="AL12" s="11">
        <v>40</v>
      </c>
      <c r="AM12" s="11">
        <v>40</v>
      </c>
      <c r="AN12" s="11">
        <v>40</v>
      </c>
    </row>
    <row r="13" spans="2:40" ht="18.75" x14ac:dyDescent="0.25">
      <c r="B13" s="46"/>
      <c r="C13" s="7" t="s">
        <v>21</v>
      </c>
      <c r="D13" s="7" t="s">
        <v>25</v>
      </c>
      <c r="E13" s="7" t="s">
        <v>36</v>
      </c>
      <c r="F13" s="8" t="s">
        <v>11</v>
      </c>
      <c r="G13" s="8" t="s">
        <v>12</v>
      </c>
      <c r="H13" s="8" t="s">
        <v>13</v>
      </c>
      <c r="I13" s="19">
        <v>421.2</v>
      </c>
      <c r="J13" s="9">
        <f>K13*I13</f>
        <v>0</v>
      </c>
      <c r="K13" s="8">
        <f>SUM(M13:AN13)</f>
        <v>0</v>
      </c>
      <c r="M13" s="18"/>
      <c r="N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spans="2:40" ht="18.75" x14ac:dyDescent="0.25">
      <c r="B14" s="46"/>
      <c r="C14" s="7" t="s">
        <v>10</v>
      </c>
      <c r="D14" s="7" t="s">
        <v>25</v>
      </c>
      <c r="E14" s="7" t="s">
        <v>41</v>
      </c>
      <c r="F14" s="8" t="s">
        <v>11</v>
      </c>
      <c r="G14" s="8" t="s">
        <v>12</v>
      </c>
      <c r="H14" s="8" t="s">
        <v>13</v>
      </c>
      <c r="I14" s="19">
        <v>379.6</v>
      </c>
      <c r="J14" s="9">
        <f>K14*I14</f>
        <v>42515.200000000004</v>
      </c>
      <c r="K14" s="8">
        <f>SUM(M14:AN14)</f>
        <v>112</v>
      </c>
      <c r="M14" s="10">
        <v>8</v>
      </c>
      <c r="N14" s="10">
        <v>8</v>
      </c>
      <c r="P14" s="11">
        <v>4</v>
      </c>
      <c r="Q14" s="11">
        <v>4</v>
      </c>
      <c r="R14" s="11">
        <v>4</v>
      </c>
      <c r="S14" s="11">
        <v>4</v>
      </c>
      <c r="T14" s="11">
        <v>4</v>
      </c>
      <c r="U14" s="11">
        <v>4</v>
      </c>
      <c r="V14" s="11">
        <v>4</v>
      </c>
      <c r="W14" s="11">
        <v>4</v>
      </c>
      <c r="X14" s="11">
        <v>4</v>
      </c>
      <c r="Y14" s="11">
        <v>4</v>
      </c>
      <c r="Z14" s="11">
        <v>4</v>
      </c>
      <c r="AA14" s="11">
        <v>4</v>
      </c>
      <c r="AC14" s="11">
        <v>4</v>
      </c>
      <c r="AD14" s="11">
        <v>4</v>
      </c>
      <c r="AE14" s="11">
        <v>4</v>
      </c>
      <c r="AF14" s="11">
        <v>4</v>
      </c>
      <c r="AG14" s="11">
        <v>4</v>
      </c>
      <c r="AH14" s="11">
        <v>4</v>
      </c>
      <c r="AI14" s="11">
        <v>4</v>
      </c>
      <c r="AJ14" s="11">
        <v>4</v>
      </c>
      <c r="AK14" s="11">
        <v>4</v>
      </c>
      <c r="AL14" s="11">
        <v>4</v>
      </c>
      <c r="AM14" s="11">
        <v>4</v>
      </c>
      <c r="AN14" s="11">
        <v>4</v>
      </c>
    </row>
    <row r="15" spans="2:40" ht="18.75" x14ac:dyDescent="0.25">
      <c r="B15" s="47" t="s">
        <v>44</v>
      </c>
      <c r="C15" s="47"/>
      <c r="D15" s="47"/>
      <c r="E15" s="47"/>
      <c r="F15" s="47"/>
      <c r="G15" s="47"/>
      <c r="H15" s="47"/>
      <c r="I15" s="47"/>
      <c r="J15" s="13">
        <f>SUM(J11:J14)</f>
        <v>291116.79999999999</v>
      </c>
      <c r="K15" s="14">
        <f>SUM(K11:K14)</f>
        <v>1520</v>
      </c>
      <c r="M15" s="15"/>
      <c r="N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2:40" ht="18.75" x14ac:dyDescent="0.25">
      <c r="B16" s="43"/>
      <c r="C16" s="21"/>
      <c r="D16" s="21"/>
      <c r="E16" s="21"/>
      <c r="F16" s="22"/>
      <c r="G16" s="22"/>
      <c r="H16" s="22"/>
      <c r="I16" s="23"/>
      <c r="J16" s="24"/>
      <c r="K16" s="22"/>
      <c r="L16" s="25"/>
      <c r="M16" s="26"/>
      <c r="N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 spans="2:40" ht="18.75" x14ac:dyDescent="0.25">
      <c r="B17" s="46" t="s">
        <v>51</v>
      </c>
      <c r="C17" s="7" t="s">
        <v>14</v>
      </c>
      <c r="D17" s="7" t="s">
        <v>27</v>
      </c>
      <c r="E17" s="7" t="s">
        <v>66</v>
      </c>
      <c r="F17" s="8" t="s">
        <v>16</v>
      </c>
      <c r="G17" s="27" t="s">
        <v>17</v>
      </c>
      <c r="H17" s="8" t="s">
        <v>13</v>
      </c>
      <c r="I17" s="19">
        <v>93.6</v>
      </c>
      <c r="J17" s="9">
        <f t="shared" ref="J17:J24" si="0">K17*I17</f>
        <v>97344</v>
      </c>
      <c r="K17" s="8">
        <f t="shared" ref="K17:K24" si="1">SUM(M17:AN17)</f>
        <v>1040</v>
      </c>
      <c r="M17" s="10">
        <v>40</v>
      </c>
      <c r="N17" s="10">
        <v>40</v>
      </c>
      <c r="P17" s="11">
        <v>40</v>
      </c>
      <c r="Q17" s="11">
        <v>40</v>
      </c>
      <c r="R17" s="11">
        <v>40</v>
      </c>
      <c r="S17" s="11">
        <v>40</v>
      </c>
      <c r="T17" s="11">
        <v>40</v>
      </c>
      <c r="U17" s="11">
        <v>40</v>
      </c>
      <c r="V17" s="11">
        <v>40</v>
      </c>
      <c r="W17" s="11">
        <v>40</v>
      </c>
      <c r="X17" s="11">
        <v>40</v>
      </c>
      <c r="Y17" s="11">
        <v>40</v>
      </c>
      <c r="Z17" s="11">
        <v>40</v>
      </c>
      <c r="AA17" s="11">
        <v>40</v>
      </c>
      <c r="AC17" s="11">
        <v>40</v>
      </c>
      <c r="AD17" s="11">
        <v>40</v>
      </c>
      <c r="AE17" s="11">
        <v>40</v>
      </c>
      <c r="AF17" s="11">
        <v>40</v>
      </c>
      <c r="AG17" s="11">
        <v>40</v>
      </c>
      <c r="AH17" s="11">
        <v>40</v>
      </c>
      <c r="AI17" s="11">
        <v>40</v>
      </c>
      <c r="AJ17" s="11">
        <v>40</v>
      </c>
      <c r="AK17" s="11">
        <v>40</v>
      </c>
      <c r="AL17" s="11">
        <v>40</v>
      </c>
      <c r="AM17" s="11">
        <v>40</v>
      </c>
      <c r="AN17" s="11">
        <v>40</v>
      </c>
    </row>
    <row r="18" spans="2:40" ht="18.75" x14ac:dyDescent="0.25">
      <c r="B18" s="46"/>
      <c r="C18" s="7" t="s">
        <v>14</v>
      </c>
      <c r="D18" s="7" t="s">
        <v>27</v>
      </c>
      <c r="E18" s="7" t="s">
        <v>48</v>
      </c>
      <c r="F18" s="8" t="s">
        <v>16</v>
      </c>
      <c r="G18" s="27" t="s">
        <v>17</v>
      </c>
      <c r="H18" s="8" t="s">
        <v>13</v>
      </c>
      <c r="I18" s="19">
        <v>93.6</v>
      </c>
      <c r="J18" s="9">
        <f t="shared" si="0"/>
        <v>89856</v>
      </c>
      <c r="K18" s="8">
        <f t="shared" si="1"/>
        <v>960</v>
      </c>
      <c r="M18" s="18"/>
      <c r="N18" s="18"/>
      <c r="P18" s="11">
        <v>40</v>
      </c>
      <c r="Q18" s="11">
        <v>40</v>
      </c>
      <c r="R18" s="11">
        <v>40</v>
      </c>
      <c r="S18" s="11">
        <v>40</v>
      </c>
      <c r="T18" s="11">
        <v>40</v>
      </c>
      <c r="U18" s="11">
        <v>40</v>
      </c>
      <c r="V18" s="11">
        <v>40</v>
      </c>
      <c r="W18" s="11">
        <v>40</v>
      </c>
      <c r="X18" s="11">
        <v>40</v>
      </c>
      <c r="Y18" s="11">
        <v>40</v>
      </c>
      <c r="Z18" s="11">
        <v>40</v>
      </c>
      <c r="AA18" s="11">
        <v>40</v>
      </c>
      <c r="AC18" s="11">
        <v>40</v>
      </c>
      <c r="AD18" s="11">
        <v>40</v>
      </c>
      <c r="AE18" s="11">
        <v>40</v>
      </c>
      <c r="AF18" s="11">
        <v>40</v>
      </c>
      <c r="AG18" s="11">
        <v>40</v>
      </c>
      <c r="AH18" s="11">
        <v>40</v>
      </c>
      <c r="AI18" s="11">
        <v>40</v>
      </c>
      <c r="AJ18" s="11">
        <v>40</v>
      </c>
      <c r="AK18" s="11">
        <v>40</v>
      </c>
      <c r="AL18" s="11">
        <v>40</v>
      </c>
      <c r="AM18" s="11">
        <v>40</v>
      </c>
      <c r="AN18" s="11">
        <v>40</v>
      </c>
    </row>
    <row r="19" spans="2:40" ht="18.75" x14ac:dyDescent="0.25">
      <c r="B19" s="46"/>
      <c r="C19" s="7" t="s">
        <v>14</v>
      </c>
      <c r="D19" s="7" t="s">
        <v>27</v>
      </c>
      <c r="E19" s="7" t="s">
        <v>48</v>
      </c>
      <c r="F19" s="8" t="s">
        <v>16</v>
      </c>
      <c r="G19" s="27" t="s">
        <v>17</v>
      </c>
      <c r="H19" s="8" t="s">
        <v>13</v>
      </c>
      <c r="I19" s="19">
        <v>93.6</v>
      </c>
      <c r="J19" s="9">
        <f t="shared" si="0"/>
        <v>89856</v>
      </c>
      <c r="K19" s="8">
        <f t="shared" si="1"/>
        <v>960</v>
      </c>
      <c r="M19" s="18"/>
      <c r="N19" s="18"/>
      <c r="P19" s="11">
        <v>40</v>
      </c>
      <c r="Q19" s="11">
        <v>40</v>
      </c>
      <c r="R19" s="11">
        <v>40</v>
      </c>
      <c r="S19" s="11">
        <v>40</v>
      </c>
      <c r="T19" s="11">
        <v>40</v>
      </c>
      <c r="U19" s="11">
        <v>40</v>
      </c>
      <c r="V19" s="11">
        <v>40</v>
      </c>
      <c r="W19" s="11">
        <v>40</v>
      </c>
      <c r="X19" s="11">
        <v>40</v>
      </c>
      <c r="Y19" s="11">
        <v>40</v>
      </c>
      <c r="Z19" s="11">
        <v>40</v>
      </c>
      <c r="AA19" s="11">
        <v>40</v>
      </c>
      <c r="AC19" s="11">
        <v>40</v>
      </c>
      <c r="AD19" s="11">
        <v>40</v>
      </c>
      <c r="AE19" s="11">
        <v>40</v>
      </c>
      <c r="AF19" s="11">
        <v>40</v>
      </c>
      <c r="AG19" s="11">
        <v>40</v>
      </c>
      <c r="AH19" s="11">
        <v>40</v>
      </c>
      <c r="AI19" s="11">
        <v>40</v>
      </c>
      <c r="AJ19" s="11">
        <v>40</v>
      </c>
      <c r="AK19" s="11">
        <v>40</v>
      </c>
      <c r="AL19" s="11">
        <v>40</v>
      </c>
      <c r="AM19" s="11">
        <v>40</v>
      </c>
      <c r="AN19" s="11">
        <v>40</v>
      </c>
    </row>
    <row r="20" spans="2:40" ht="18.75" x14ac:dyDescent="0.25">
      <c r="B20" s="46"/>
      <c r="C20" s="7" t="s">
        <v>14</v>
      </c>
      <c r="D20" s="7" t="s">
        <v>27</v>
      </c>
      <c r="E20" s="7" t="s">
        <v>49</v>
      </c>
      <c r="F20" s="8" t="s">
        <v>16</v>
      </c>
      <c r="G20" s="27" t="s">
        <v>17</v>
      </c>
      <c r="H20" s="8" t="s">
        <v>13</v>
      </c>
      <c r="I20" s="19">
        <v>93.6</v>
      </c>
      <c r="J20" s="9">
        <f t="shared" si="0"/>
        <v>89856</v>
      </c>
      <c r="K20" s="8">
        <f t="shared" si="1"/>
        <v>960</v>
      </c>
      <c r="M20" s="18"/>
      <c r="N20" s="18"/>
      <c r="P20" s="11">
        <v>40</v>
      </c>
      <c r="Q20" s="11">
        <v>40</v>
      </c>
      <c r="R20" s="11">
        <v>40</v>
      </c>
      <c r="S20" s="11">
        <v>40</v>
      </c>
      <c r="T20" s="11">
        <v>40</v>
      </c>
      <c r="U20" s="11">
        <v>40</v>
      </c>
      <c r="V20" s="11">
        <v>40</v>
      </c>
      <c r="W20" s="11">
        <v>40</v>
      </c>
      <c r="X20" s="11">
        <v>40</v>
      </c>
      <c r="Y20" s="11">
        <v>40</v>
      </c>
      <c r="Z20" s="11">
        <v>40</v>
      </c>
      <c r="AA20" s="11">
        <v>40</v>
      </c>
      <c r="AC20" s="11">
        <v>40</v>
      </c>
      <c r="AD20" s="11">
        <v>40</v>
      </c>
      <c r="AE20" s="11">
        <v>40</v>
      </c>
      <c r="AF20" s="11">
        <v>40</v>
      </c>
      <c r="AG20" s="11">
        <v>40</v>
      </c>
      <c r="AH20" s="11">
        <v>40</v>
      </c>
      <c r="AI20" s="11">
        <v>40</v>
      </c>
      <c r="AJ20" s="11">
        <v>40</v>
      </c>
      <c r="AK20" s="11">
        <v>40</v>
      </c>
      <c r="AL20" s="11">
        <v>40</v>
      </c>
      <c r="AM20" s="11">
        <v>40</v>
      </c>
      <c r="AN20" s="11">
        <v>40</v>
      </c>
    </row>
    <row r="21" spans="2:40" ht="18.75" x14ac:dyDescent="0.25">
      <c r="B21" s="46"/>
      <c r="C21" s="7" t="s">
        <v>14</v>
      </c>
      <c r="D21" s="7" t="s">
        <v>27</v>
      </c>
      <c r="E21" s="7" t="s">
        <v>50</v>
      </c>
      <c r="F21" s="8" t="s">
        <v>16</v>
      </c>
      <c r="G21" s="27" t="s">
        <v>17</v>
      </c>
      <c r="H21" s="8" t="s">
        <v>13</v>
      </c>
      <c r="I21" s="19">
        <v>93.6</v>
      </c>
      <c r="J21" s="9">
        <f t="shared" si="0"/>
        <v>89856</v>
      </c>
      <c r="K21" s="8">
        <f t="shared" si="1"/>
        <v>960</v>
      </c>
      <c r="M21" s="18"/>
      <c r="N21" s="18"/>
      <c r="P21" s="11">
        <v>40</v>
      </c>
      <c r="Q21" s="11">
        <v>40</v>
      </c>
      <c r="R21" s="11">
        <v>40</v>
      </c>
      <c r="S21" s="11">
        <v>40</v>
      </c>
      <c r="T21" s="11">
        <v>40</v>
      </c>
      <c r="U21" s="11">
        <v>40</v>
      </c>
      <c r="V21" s="11">
        <v>40</v>
      </c>
      <c r="W21" s="11">
        <v>40</v>
      </c>
      <c r="X21" s="11">
        <v>40</v>
      </c>
      <c r="Y21" s="11">
        <v>40</v>
      </c>
      <c r="Z21" s="11">
        <v>40</v>
      </c>
      <c r="AA21" s="11">
        <v>40</v>
      </c>
      <c r="AC21" s="11">
        <v>40</v>
      </c>
      <c r="AD21" s="11">
        <v>40</v>
      </c>
      <c r="AE21" s="11">
        <v>40</v>
      </c>
      <c r="AF21" s="11">
        <v>40</v>
      </c>
      <c r="AG21" s="11">
        <v>40</v>
      </c>
      <c r="AH21" s="11">
        <v>40</v>
      </c>
      <c r="AI21" s="11">
        <v>40</v>
      </c>
      <c r="AJ21" s="11">
        <v>40</v>
      </c>
      <c r="AK21" s="11">
        <v>40</v>
      </c>
      <c r="AL21" s="11">
        <v>40</v>
      </c>
      <c r="AM21" s="11">
        <v>40</v>
      </c>
      <c r="AN21" s="11">
        <v>40</v>
      </c>
    </row>
    <row r="22" spans="2:40" ht="18.75" x14ac:dyDescent="0.25">
      <c r="B22" s="46"/>
      <c r="C22" s="7" t="s">
        <v>14</v>
      </c>
      <c r="D22" s="7" t="s">
        <v>27</v>
      </c>
      <c r="E22" s="7" t="s">
        <v>40</v>
      </c>
      <c r="F22" s="8" t="s">
        <v>16</v>
      </c>
      <c r="G22" s="27" t="s">
        <v>17</v>
      </c>
      <c r="H22" s="8" t="s">
        <v>13</v>
      </c>
      <c r="I22" s="19">
        <v>93.6</v>
      </c>
      <c r="J22" s="9">
        <f t="shared" si="0"/>
        <v>44928</v>
      </c>
      <c r="K22" s="8">
        <f t="shared" si="1"/>
        <v>480</v>
      </c>
      <c r="M22" s="18"/>
      <c r="N22" s="18"/>
      <c r="P22" s="11">
        <v>40</v>
      </c>
      <c r="Q22" s="11">
        <v>40</v>
      </c>
      <c r="R22" s="11">
        <v>40</v>
      </c>
      <c r="S22" s="11">
        <v>40</v>
      </c>
      <c r="T22" s="11">
        <v>40</v>
      </c>
      <c r="U22" s="11">
        <v>40</v>
      </c>
      <c r="V22" s="11">
        <v>40</v>
      </c>
      <c r="W22" s="11">
        <v>40</v>
      </c>
      <c r="X22" s="11">
        <v>40</v>
      </c>
      <c r="Y22" s="11">
        <v>40</v>
      </c>
      <c r="Z22" s="11">
        <v>40</v>
      </c>
      <c r="AA22" s="11">
        <v>40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spans="2:40" ht="18.75" x14ac:dyDescent="0.25">
      <c r="B23" s="46"/>
      <c r="C23" s="7" t="s">
        <v>21</v>
      </c>
      <c r="D23" s="7" t="s">
        <v>27</v>
      </c>
      <c r="E23" s="7" t="s">
        <v>28</v>
      </c>
      <c r="F23" s="8" t="s">
        <v>16</v>
      </c>
      <c r="G23" s="27" t="s">
        <v>17</v>
      </c>
      <c r="H23" s="8" t="s">
        <v>13</v>
      </c>
      <c r="I23" s="19">
        <v>93.6</v>
      </c>
      <c r="J23" s="9">
        <f t="shared" si="0"/>
        <v>17971.199999999997</v>
      </c>
      <c r="K23" s="8">
        <f t="shared" si="1"/>
        <v>192</v>
      </c>
      <c r="M23" s="18"/>
      <c r="N23" s="18"/>
      <c r="P23" s="11">
        <v>8</v>
      </c>
      <c r="Q23" s="11">
        <v>8</v>
      </c>
      <c r="R23" s="11">
        <v>8</v>
      </c>
      <c r="S23" s="11">
        <v>8</v>
      </c>
      <c r="T23" s="11">
        <v>8</v>
      </c>
      <c r="U23" s="11">
        <v>8</v>
      </c>
      <c r="V23" s="11">
        <v>8</v>
      </c>
      <c r="W23" s="11">
        <v>8</v>
      </c>
      <c r="X23" s="11">
        <v>8</v>
      </c>
      <c r="Y23" s="11">
        <v>8</v>
      </c>
      <c r="Z23" s="11">
        <v>8</v>
      </c>
      <c r="AA23" s="11">
        <v>8</v>
      </c>
      <c r="AC23" s="11">
        <v>8</v>
      </c>
      <c r="AD23" s="11">
        <v>8</v>
      </c>
      <c r="AE23" s="11">
        <v>8</v>
      </c>
      <c r="AF23" s="11">
        <v>8</v>
      </c>
      <c r="AG23" s="11">
        <v>8</v>
      </c>
      <c r="AH23" s="11">
        <v>8</v>
      </c>
      <c r="AI23" s="11">
        <v>8</v>
      </c>
      <c r="AJ23" s="11">
        <v>8</v>
      </c>
      <c r="AK23" s="11">
        <v>8</v>
      </c>
      <c r="AL23" s="11">
        <v>8</v>
      </c>
      <c r="AM23" s="11">
        <v>8</v>
      </c>
      <c r="AN23" s="11">
        <v>8</v>
      </c>
    </row>
    <row r="24" spans="2:40" ht="18.75" x14ac:dyDescent="0.25">
      <c r="B24" s="46"/>
      <c r="C24" s="7" t="s">
        <v>14</v>
      </c>
      <c r="D24" s="7" t="s">
        <v>27</v>
      </c>
      <c r="E24" s="7" t="s">
        <v>47</v>
      </c>
      <c r="F24" s="8" t="s">
        <v>16</v>
      </c>
      <c r="G24" s="27" t="s">
        <v>17</v>
      </c>
      <c r="H24" s="8" t="s">
        <v>13</v>
      </c>
      <c r="I24" s="19">
        <v>93.6</v>
      </c>
      <c r="J24" s="9">
        <f t="shared" si="0"/>
        <v>89856</v>
      </c>
      <c r="K24" s="8">
        <f t="shared" si="1"/>
        <v>960</v>
      </c>
      <c r="M24" s="18"/>
      <c r="N24" s="18"/>
      <c r="P24" s="11">
        <v>40</v>
      </c>
      <c r="Q24" s="11">
        <v>40</v>
      </c>
      <c r="R24" s="11">
        <v>40</v>
      </c>
      <c r="S24" s="11">
        <v>40</v>
      </c>
      <c r="T24" s="11">
        <v>40</v>
      </c>
      <c r="U24" s="11">
        <v>40</v>
      </c>
      <c r="V24" s="11">
        <v>40</v>
      </c>
      <c r="W24" s="11">
        <v>40</v>
      </c>
      <c r="X24" s="11">
        <v>40</v>
      </c>
      <c r="Y24" s="11">
        <v>40</v>
      </c>
      <c r="Z24" s="11">
        <v>40</v>
      </c>
      <c r="AA24" s="11">
        <v>40</v>
      </c>
      <c r="AC24" s="11">
        <v>40</v>
      </c>
      <c r="AD24" s="11">
        <v>40</v>
      </c>
      <c r="AE24" s="11">
        <v>40</v>
      </c>
      <c r="AF24" s="11">
        <v>40</v>
      </c>
      <c r="AG24" s="11">
        <v>40</v>
      </c>
      <c r="AH24" s="11">
        <v>40</v>
      </c>
      <c r="AI24" s="11">
        <v>40</v>
      </c>
      <c r="AJ24" s="11">
        <v>40</v>
      </c>
      <c r="AK24" s="11">
        <v>40</v>
      </c>
      <c r="AL24" s="11">
        <v>40</v>
      </c>
      <c r="AM24" s="11">
        <v>40</v>
      </c>
      <c r="AN24" s="11">
        <v>40</v>
      </c>
    </row>
    <row r="25" spans="2:40" ht="18.75" x14ac:dyDescent="0.25">
      <c r="B25" s="47" t="s">
        <v>51</v>
      </c>
      <c r="C25" s="47"/>
      <c r="D25" s="47"/>
      <c r="E25" s="47"/>
      <c r="F25" s="47"/>
      <c r="G25" s="47"/>
      <c r="H25" s="47"/>
      <c r="I25" s="47"/>
      <c r="J25" s="13">
        <f>SUM(J17:J24)</f>
        <v>609523.19999999995</v>
      </c>
      <c r="K25" s="14">
        <f>SUM(K17:K24)</f>
        <v>6512</v>
      </c>
      <c r="M25" s="15"/>
      <c r="N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2:40" ht="18.75" x14ac:dyDescent="0.25">
      <c r="B26" s="30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2:40" ht="18.75" x14ac:dyDescent="0.25">
      <c r="B27" s="46" t="s">
        <v>29</v>
      </c>
      <c r="C27" s="7" t="s">
        <v>14</v>
      </c>
      <c r="D27" s="7" t="s">
        <v>27</v>
      </c>
      <c r="E27" s="7" t="s">
        <v>52</v>
      </c>
      <c r="F27" s="8" t="s">
        <v>16</v>
      </c>
      <c r="G27" s="27" t="s">
        <v>17</v>
      </c>
      <c r="H27" s="8" t="s">
        <v>13</v>
      </c>
      <c r="I27" s="19">
        <v>93.6</v>
      </c>
      <c r="J27" s="9">
        <f>K27*I27</f>
        <v>29203.199999999997</v>
      </c>
      <c r="K27" s="8">
        <f>SUM(M27:AN27)</f>
        <v>312</v>
      </c>
      <c r="M27" s="10">
        <v>12</v>
      </c>
      <c r="N27" s="10">
        <v>12</v>
      </c>
      <c r="P27" s="11">
        <v>12</v>
      </c>
      <c r="Q27" s="11">
        <v>12</v>
      </c>
      <c r="R27" s="11">
        <v>12</v>
      </c>
      <c r="S27" s="11">
        <v>12</v>
      </c>
      <c r="T27" s="11">
        <v>12</v>
      </c>
      <c r="U27" s="11">
        <v>12</v>
      </c>
      <c r="V27" s="11">
        <v>12</v>
      </c>
      <c r="W27" s="11">
        <v>12</v>
      </c>
      <c r="X27" s="11">
        <v>12</v>
      </c>
      <c r="Y27" s="11">
        <v>12</v>
      </c>
      <c r="Z27" s="11">
        <v>12</v>
      </c>
      <c r="AA27" s="11">
        <v>12</v>
      </c>
      <c r="AC27" s="11">
        <v>12</v>
      </c>
      <c r="AD27" s="11">
        <v>12</v>
      </c>
      <c r="AE27" s="11">
        <v>12</v>
      </c>
      <c r="AF27" s="11">
        <v>12</v>
      </c>
      <c r="AG27" s="11">
        <v>12</v>
      </c>
      <c r="AH27" s="11">
        <v>12</v>
      </c>
      <c r="AI27" s="11">
        <v>12</v>
      </c>
      <c r="AJ27" s="11">
        <v>12</v>
      </c>
      <c r="AK27" s="11">
        <v>12</v>
      </c>
      <c r="AL27" s="11">
        <v>12</v>
      </c>
      <c r="AM27" s="11">
        <v>12</v>
      </c>
      <c r="AN27" s="11">
        <v>12</v>
      </c>
    </row>
    <row r="28" spans="2:40" ht="18.75" x14ac:dyDescent="0.25">
      <c r="B28" s="46"/>
      <c r="C28" s="7" t="s">
        <v>14</v>
      </c>
      <c r="D28" s="7" t="s">
        <v>27</v>
      </c>
      <c r="E28" s="7" t="s">
        <v>30</v>
      </c>
      <c r="F28" s="8" t="s">
        <v>16</v>
      </c>
      <c r="G28" s="27" t="s">
        <v>17</v>
      </c>
      <c r="H28" s="8" t="s">
        <v>13</v>
      </c>
      <c r="I28" s="19">
        <v>93.6</v>
      </c>
      <c r="J28" s="9">
        <f>K28*I28</f>
        <v>26956.799999999999</v>
      </c>
      <c r="K28" s="8">
        <f>SUM(M28:AN28)</f>
        <v>288</v>
      </c>
      <c r="M28" s="18"/>
      <c r="N28" s="18"/>
      <c r="P28" s="11">
        <v>12</v>
      </c>
      <c r="Q28" s="11">
        <v>12</v>
      </c>
      <c r="R28" s="11">
        <v>12</v>
      </c>
      <c r="S28" s="11">
        <v>12</v>
      </c>
      <c r="T28" s="11">
        <v>12</v>
      </c>
      <c r="U28" s="11">
        <v>12</v>
      </c>
      <c r="V28" s="11">
        <v>12</v>
      </c>
      <c r="W28" s="11">
        <v>12</v>
      </c>
      <c r="X28" s="11">
        <v>12</v>
      </c>
      <c r="Y28" s="11">
        <v>12</v>
      </c>
      <c r="Z28" s="11">
        <v>12</v>
      </c>
      <c r="AA28" s="11">
        <v>12</v>
      </c>
      <c r="AC28" s="11">
        <v>12</v>
      </c>
      <c r="AD28" s="11">
        <v>12</v>
      </c>
      <c r="AE28" s="11">
        <v>12</v>
      </c>
      <c r="AF28" s="11">
        <v>12</v>
      </c>
      <c r="AG28" s="11">
        <v>12</v>
      </c>
      <c r="AH28" s="11">
        <v>12</v>
      </c>
      <c r="AI28" s="11">
        <v>12</v>
      </c>
      <c r="AJ28" s="11">
        <v>12</v>
      </c>
      <c r="AK28" s="11">
        <v>12</v>
      </c>
      <c r="AL28" s="11">
        <v>12</v>
      </c>
      <c r="AM28" s="11">
        <v>12</v>
      </c>
      <c r="AN28" s="11">
        <v>12</v>
      </c>
    </row>
    <row r="29" spans="2:40" ht="18.75" x14ac:dyDescent="0.25">
      <c r="B29" s="47" t="s">
        <v>29</v>
      </c>
      <c r="C29" s="47"/>
      <c r="D29" s="47"/>
      <c r="E29" s="47"/>
      <c r="F29" s="47"/>
      <c r="G29" s="47"/>
      <c r="H29" s="47"/>
      <c r="I29" s="47"/>
      <c r="J29" s="13">
        <f>SUM(J27:J28)</f>
        <v>56160</v>
      </c>
      <c r="K29" s="14">
        <f>SUM(K27:K28)</f>
        <v>600</v>
      </c>
      <c r="M29" s="15"/>
      <c r="N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2:40" ht="18.75" x14ac:dyDescent="0.25">
      <c r="B30" s="30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2:40" ht="18.75" x14ac:dyDescent="0.25">
      <c r="B31" s="46" t="s">
        <v>31</v>
      </c>
      <c r="C31" s="20" t="s">
        <v>18</v>
      </c>
      <c r="D31" s="7" t="s">
        <v>25</v>
      </c>
      <c r="E31" s="7" t="s">
        <v>19</v>
      </c>
      <c r="F31" s="8" t="s">
        <v>11</v>
      </c>
      <c r="G31" s="8" t="s">
        <v>12</v>
      </c>
      <c r="H31" s="8" t="s">
        <v>13</v>
      </c>
      <c r="I31" s="19">
        <v>478.4</v>
      </c>
      <c r="J31" s="9">
        <f>K31*I31</f>
        <v>49753.599999999999</v>
      </c>
      <c r="K31" s="8">
        <f>SUM(M31:AN31)</f>
        <v>104</v>
      </c>
      <c r="M31" s="10">
        <v>4</v>
      </c>
      <c r="N31" s="10">
        <v>4</v>
      </c>
      <c r="P31" s="11">
        <v>4</v>
      </c>
      <c r="Q31" s="11">
        <v>4</v>
      </c>
      <c r="R31" s="11">
        <v>4</v>
      </c>
      <c r="S31" s="11">
        <v>4</v>
      </c>
      <c r="T31" s="11">
        <v>4</v>
      </c>
      <c r="U31" s="11">
        <v>4</v>
      </c>
      <c r="V31" s="11">
        <v>4</v>
      </c>
      <c r="W31" s="11">
        <v>4</v>
      </c>
      <c r="X31" s="11">
        <v>4</v>
      </c>
      <c r="Y31" s="11">
        <v>4</v>
      </c>
      <c r="Z31" s="11">
        <v>4</v>
      </c>
      <c r="AA31" s="11">
        <v>4</v>
      </c>
      <c r="AC31" s="11">
        <v>4</v>
      </c>
      <c r="AD31" s="11">
        <v>4</v>
      </c>
      <c r="AE31" s="11">
        <v>4</v>
      </c>
      <c r="AF31" s="11">
        <v>4</v>
      </c>
      <c r="AG31" s="11">
        <v>4</v>
      </c>
      <c r="AH31" s="11">
        <v>4</v>
      </c>
      <c r="AI31" s="11">
        <v>4</v>
      </c>
      <c r="AJ31" s="11">
        <v>4</v>
      </c>
      <c r="AK31" s="11">
        <v>4</v>
      </c>
      <c r="AL31" s="11">
        <v>4</v>
      </c>
      <c r="AM31" s="11">
        <v>4</v>
      </c>
      <c r="AN31" s="11">
        <v>4</v>
      </c>
    </row>
    <row r="32" spans="2:40" ht="18.75" x14ac:dyDescent="0.25">
      <c r="B32" s="46"/>
      <c r="C32" s="7" t="s">
        <v>32</v>
      </c>
      <c r="D32" s="7" t="s">
        <v>25</v>
      </c>
      <c r="E32" s="7" t="s">
        <v>91</v>
      </c>
      <c r="F32" s="8" t="s">
        <v>11</v>
      </c>
      <c r="G32" s="8" t="s">
        <v>12</v>
      </c>
      <c r="H32" s="8" t="s">
        <v>13</v>
      </c>
      <c r="I32" s="19">
        <v>384.8</v>
      </c>
      <c r="J32" s="9">
        <f>K32*I32</f>
        <v>80038.400000000009</v>
      </c>
      <c r="K32" s="8">
        <f>SUM(M32:AN32)</f>
        <v>208</v>
      </c>
      <c r="M32" s="10">
        <v>8</v>
      </c>
      <c r="N32" s="10">
        <v>8</v>
      </c>
      <c r="P32" s="11">
        <v>8</v>
      </c>
      <c r="Q32" s="11">
        <v>8</v>
      </c>
      <c r="R32" s="11">
        <v>8</v>
      </c>
      <c r="S32" s="11">
        <v>8</v>
      </c>
      <c r="T32" s="11">
        <v>8</v>
      </c>
      <c r="U32" s="11">
        <v>8</v>
      </c>
      <c r="V32" s="11">
        <v>8</v>
      </c>
      <c r="W32" s="11">
        <v>8</v>
      </c>
      <c r="X32" s="11">
        <v>8</v>
      </c>
      <c r="Y32" s="11">
        <v>8</v>
      </c>
      <c r="Z32" s="11">
        <v>8</v>
      </c>
      <c r="AA32" s="11">
        <v>8</v>
      </c>
      <c r="AC32" s="11">
        <v>8</v>
      </c>
      <c r="AD32" s="11">
        <v>8</v>
      </c>
      <c r="AE32" s="11">
        <v>8</v>
      </c>
      <c r="AF32" s="11">
        <v>8</v>
      </c>
      <c r="AG32" s="11">
        <v>8</v>
      </c>
      <c r="AH32" s="11">
        <v>8</v>
      </c>
      <c r="AI32" s="11">
        <v>8</v>
      </c>
      <c r="AJ32" s="11">
        <v>8</v>
      </c>
      <c r="AK32" s="11">
        <v>8</v>
      </c>
      <c r="AL32" s="11">
        <v>8</v>
      </c>
      <c r="AM32" s="11">
        <v>8</v>
      </c>
      <c r="AN32" s="11">
        <v>8</v>
      </c>
    </row>
    <row r="33" spans="1:40" ht="18.75" x14ac:dyDescent="0.25">
      <c r="B33" s="46"/>
      <c r="C33" s="7" t="s">
        <v>32</v>
      </c>
      <c r="D33" s="7" t="s">
        <v>25</v>
      </c>
      <c r="E33" s="7" t="s">
        <v>20</v>
      </c>
      <c r="F33" s="8" t="s">
        <v>11</v>
      </c>
      <c r="G33" s="8" t="s">
        <v>12</v>
      </c>
      <c r="H33" s="8" t="s">
        <v>13</v>
      </c>
      <c r="I33" s="19">
        <v>384.8</v>
      </c>
      <c r="J33" s="9">
        <f>K33*I33</f>
        <v>400192</v>
      </c>
      <c r="K33" s="8">
        <f>SUM(M33:AN33)</f>
        <v>1040</v>
      </c>
      <c r="M33" s="10">
        <v>40</v>
      </c>
      <c r="N33" s="10">
        <v>40</v>
      </c>
      <c r="P33" s="11">
        <v>40</v>
      </c>
      <c r="Q33" s="11">
        <v>40</v>
      </c>
      <c r="R33" s="11">
        <v>40</v>
      </c>
      <c r="S33" s="11">
        <v>40</v>
      </c>
      <c r="T33" s="11">
        <v>40</v>
      </c>
      <c r="U33" s="11">
        <v>40</v>
      </c>
      <c r="V33" s="11">
        <v>40</v>
      </c>
      <c r="W33" s="11">
        <v>40</v>
      </c>
      <c r="X33" s="11">
        <v>40</v>
      </c>
      <c r="Y33" s="11">
        <v>40</v>
      </c>
      <c r="Z33" s="11">
        <v>40</v>
      </c>
      <c r="AA33" s="11">
        <v>40</v>
      </c>
      <c r="AC33" s="11">
        <v>40</v>
      </c>
      <c r="AD33" s="11">
        <v>40</v>
      </c>
      <c r="AE33" s="11">
        <v>40</v>
      </c>
      <c r="AF33" s="11">
        <v>40</v>
      </c>
      <c r="AG33" s="11">
        <v>40</v>
      </c>
      <c r="AH33" s="11">
        <v>40</v>
      </c>
      <c r="AI33" s="11">
        <v>40</v>
      </c>
      <c r="AJ33" s="11">
        <v>40</v>
      </c>
      <c r="AK33" s="11">
        <v>40</v>
      </c>
      <c r="AL33" s="11">
        <v>40</v>
      </c>
      <c r="AM33" s="11">
        <v>40</v>
      </c>
      <c r="AN33" s="11">
        <v>40</v>
      </c>
    </row>
    <row r="34" spans="1:40" ht="18.75" x14ac:dyDescent="0.25">
      <c r="B34" s="46"/>
      <c r="C34" s="7" t="s">
        <v>33</v>
      </c>
      <c r="D34" s="7" t="s">
        <v>27</v>
      </c>
      <c r="E34" s="7" t="s">
        <v>34</v>
      </c>
      <c r="F34" s="8" t="s">
        <v>16</v>
      </c>
      <c r="G34" s="27" t="s">
        <v>17</v>
      </c>
      <c r="H34" s="8" t="s">
        <v>13</v>
      </c>
      <c r="I34" s="19">
        <v>93.6</v>
      </c>
      <c r="J34" s="9">
        <f>K34*I34</f>
        <v>97344</v>
      </c>
      <c r="K34" s="8">
        <f>SUM(M34:AN34)</f>
        <v>1040</v>
      </c>
      <c r="M34" s="10">
        <v>40</v>
      </c>
      <c r="N34" s="10">
        <v>40</v>
      </c>
      <c r="P34" s="11">
        <v>40</v>
      </c>
      <c r="Q34" s="11">
        <v>40</v>
      </c>
      <c r="R34" s="11">
        <v>40</v>
      </c>
      <c r="S34" s="11">
        <v>40</v>
      </c>
      <c r="T34" s="11">
        <v>40</v>
      </c>
      <c r="U34" s="11">
        <v>40</v>
      </c>
      <c r="V34" s="11">
        <v>40</v>
      </c>
      <c r="W34" s="11">
        <v>40</v>
      </c>
      <c r="X34" s="11">
        <v>40</v>
      </c>
      <c r="Y34" s="11">
        <v>40</v>
      </c>
      <c r="Z34" s="11">
        <v>40</v>
      </c>
      <c r="AA34" s="11">
        <v>40</v>
      </c>
      <c r="AC34" s="11">
        <v>40</v>
      </c>
      <c r="AD34" s="11">
        <v>40</v>
      </c>
      <c r="AE34" s="11">
        <v>40</v>
      </c>
      <c r="AF34" s="11">
        <v>40</v>
      </c>
      <c r="AG34" s="11">
        <v>40</v>
      </c>
      <c r="AH34" s="11">
        <v>40</v>
      </c>
      <c r="AI34" s="11">
        <v>40</v>
      </c>
      <c r="AJ34" s="11">
        <v>40</v>
      </c>
      <c r="AK34" s="11">
        <v>40</v>
      </c>
      <c r="AL34" s="11">
        <v>40</v>
      </c>
      <c r="AM34" s="11">
        <v>40</v>
      </c>
      <c r="AN34" s="11">
        <v>40</v>
      </c>
    </row>
    <row r="35" spans="1:40" ht="18.75" x14ac:dyDescent="0.25">
      <c r="B35" s="47" t="s">
        <v>31</v>
      </c>
      <c r="C35" s="47"/>
      <c r="D35" s="47"/>
      <c r="E35" s="47"/>
      <c r="F35" s="47"/>
      <c r="G35" s="47"/>
      <c r="H35" s="47"/>
      <c r="I35" s="47"/>
      <c r="J35" s="13">
        <f>SUM(J31:J34)</f>
        <v>627328</v>
      </c>
      <c r="K35" s="14">
        <f>SUM(K31:K34)</f>
        <v>2392</v>
      </c>
      <c r="M35" s="15"/>
      <c r="N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spans="1:40" ht="18.75" x14ac:dyDescent="0.25">
      <c r="A36" s="31"/>
      <c r="B36" s="31"/>
      <c r="C36" s="31"/>
      <c r="D36" s="31"/>
      <c r="E36" s="31"/>
      <c r="F36" s="31"/>
      <c r="G36" s="31"/>
      <c r="H36" s="31"/>
      <c r="I36" s="36"/>
      <c r="J36" s="34"/>
      <c r="L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B36" s="15"/>
      <c r="AC36" s="15"/>
      <c r="AD36" s="15"/>
      <c r="AE36" s="15"/>
      <c r="AF36" s="15"/>
      <c r="AG36" s="15"/>
      <c r="AI36" s="15"/>
      <c r="AJ36" s="15"/>
      <c r="AK36" s="15"/>
      <c r="AL36" s="15"/>
      <c r="AM36" s="15"/>
    </row>
    <row r="37" spans="1:40" ht="18.75" x14ac:dyDescent="0.25">
      <c r="B37" s="46" t="s">
        <v>37</v>
      </c>
      <c r="C37" s="7" t="s">
        <v>14</v>
      </c>
      <c r="D37" s="7" t="s">
        <v>27</v>
      </c>
      <c r="E37" s="7" t="s">
        <v>38</v>
      </c>
      <c r="F37" s="8" t="s">
        <v>11</v>
      </c>
      <c r="G37" s="27" t="s">
        <v>17</v>
      </c>
      <c r="H37" s="8" t="s">
        <v>13</v>
      </c>
      <c r="I37" s="19">
        <v>93.6</v>
      </c>
      <c r="J37" s="9">
        <f>K37*I37</f>
        <v>9360</v>
      </c>
      <c r="K37" s="8">
        <f>SUM(M37:AN37)</f>
        <v>100</v>
      </c>
      <c r="M37" s="18"/>
      <c r="N37" s="18"/>
      <c r="P37" s="11">
        <v>4</v>
      </c>
      <c r="Q37" s="11">
        <v>4</v>
      </c>
      <c r="R37" s="11">
        <v>4</v>
      </c>
      <c r="S37" s="11">
        <v>4</v>
      </c>
      <c r="T37" s="11">
        <v>4</v>
      </c>
      <c r="U37" s="11">
        <v>4</v>
      </c>
      <c r="V37" s="11">
        <v>4</v>
      </c>
      <c r="W37" s="11">
        <v>4</v>
      </c>
      <c r="X37" s="11">
        <v>4</v>
      </c>
      <c r="Y37" s="11">
        <v>4</v>
      </c>
      <c r="Z37" s="11">
        <v>4</v>
      </c>
      <c r="AA37" s="11">
        <v>4</v>
      </c>
      <c r="AB37" s="11">
        <v>4</v>
      </c>
      <c r="AC37" s="11">
        <v>4</v>
      </c>
      <c r="AD37" s="11">
        <v>4</v>
      </c>
      <c r="AE37" s="11">
        <v>4</v>
      </c>
      <c r="AF37" s="11">
        <v>4</v>
      </c>
      <c r="AG37" s="11">
        <v>4</v>
      </c>
      <c r="AH37" s="11">
        <v>4</v>
      </c>
      <c r="AI37" s="11">
        <v>4</v>
      </c>
      <c r="AJ37" s="11">
        <v>4</v>
      </c>
      <c r="AK37" s="11">
        <v>4</v>
      </c>
      <c r="AL37" s="11">
        <v>4</v>
      </c>
      <c r="AM37" s="11">
        <v>4</v>
      </c>
      <c r="AN37" s="11">
        <v>4</v>
      </c>
    </row>
    <row r="38" spans="1:40" ht="18.75" x14ac:dyDescent="0.25">
      <c r="B38" s="46"/>
      <c r="C38" s="7" t="s">
        <v>21</v>
      </c>
      <c r="D38" s="7" t="s">
        <v>69</v>
      </c>
      <c r="E38" s="7" t="s">
        <v>21</v>
      </c>
      <c r="F38" s="8" t="s">
        <v>11</v>
      </c>
      <c r="G38" s="8" t="s">
        <v>12</v>
      </c>
      <c r="H38" s="8" t="s">
        <v>13</v>
      </c>
      <c r="I38" s="19">
        <v>462.8</v>
      </c>
      <c r="J38" s="9">
        <f>K38*I38</f>
        <v>53684.800000000003</v>
      </c>
      <c r="K38" s="8">
        <f>SUM(M38:AN38)</f>
        <v>116</v>
      </c>
      <c r="M38" s="10">
        <v>8</v>
      </c>
      <c r="N38" s="10">
        <v>8</v>
      </c>
      <c r="P38" s="11">
        <v>4</v>
      </c>
      <c r="Q38" s="11">
        <v>4</v>
      </c>
      <c r="R38" s="11">
        <v>4</v>
      </c>
      <c r="S38" s="11">
        <v>4</v>
      </c>
      <c r="T38" s="11">
        <v>4</v>
      </c>
      <c r="U38" s="11">
        <v>4</v>
      </c>
      <c r="V38" s="11">
        <v>4</v>
      </c>
      <c r="W38" s="11">
        <v>4</v>
      </c>
      <c r="X38" s="11">
        <v>4</v>
      </c>
      <c r="Y38" s="11">
        <v>4</v>
      </c>
      <c r="Z38" s="11">
        <v>4</v>
      </c>
      <c r="AA38" s="11">
        <v>4</v>
      </c>
      <c r="AB38" s="11">
        <v>4</v>
      </c>
      <c r="AC38" s="11">
        <v>4</v>
      </c>
      <c r="AD38" s="11">
        <v>4</v>
      </c>
      <c r="AE38" s="11">
        <v>4</v>
      </c>
      <c r="AF38" s="11">
        <v>4</v>
      </c>
      <c r="AG38" s="11">
        <v>4</v>
      </c>
      <c r="AH38" s="11">
        <v>4</v>
      </c>
      <c r="AI38" s="11">
        <v>4</v>
      </c>
      <c r="AJ38" s="11">
        <v>4</v>
      </c>
      <c r="AK38" s="11">
        <v>4</v>
      </c>
      <c r="AL38" s="11">
        <v>4</v>
      </c>
      <c r="AM38" s="11">
        <v>4</v>
      </c>
      <c r="AN38" s="11">
        <v>4</v>
      </c>
    </row>
    <row r="39" spans="1:40" ht="18.75" x14ac:dyDescent="0.25">
      <c r="B39" s="47" t="s">
        <v>37</v>
      </c>
      <c r="C39" s="47"/>
      <c r="D39" s="47"/>
      <c r="E39" s="47"/>
      <c r="F39" s="47"/>
      <c r="G39" s="47"/>
      <c r="H39" s="47"/>
      <c r="I39" s="47"/>
      <c r="J39" s="13">
        <f>SUM(J37:J38)</f>
        <v>63044.800000000003</v>
      </c>
      <c r="K39" s="14">
        <f>SUM(K37:K38)</f>
        <v>216</v>
      </c>
      <c r="M39" s="16"/>
      <c r="N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spans="1:40" ht="18.75" x14ac:dyDescent="0.25">
      <c r="A40" s="31"/>
      <c r="B40" s="31"/>
      <c r="C40" s="31"/>
      <c r="D40" s="31"/>
      <c r="E40" s="31"/>
      <c r="F40" s="31"/>
      <c r="G40" s="31"/>
      <c r="H40" s="31"/>
      <c r="I40" s="36"/>
      <c r="J40" s="34"/>
      <c r="L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B40" s="15"/>
      <c r="AC40" s="15"/>
      <c r="AD40" s="15"/>
      <c r="AE40" s="15"/>
      <c r="AF40" s="15"/>
      <c r="AG40" s="15"/>
      <c r="AI40" s="15"/>
      <c r="AJ40" s="15"/>
      <c r="AK40" s="15"/>
      <c r="AL40" s="15"/>
      <c r="AM40" s="15"/>
    </row>
    <row r="41" spans="1:40" ht="18.75" x14ac:dyDescent="0.25">
      <c r="B41" s="46" t="s">
        <v>55</v>
      </c>
      <c r="C41" s="7" t="s">
        <v>61</v>
      </c>
      <c r="D41" s="7" t="s">
        <v>57</v>
      </c>
      <c r="E41" s="7" t="s">
        <v>56</v>
      </c>
      <c r="F41" s="8" t="s">
        <v>11</v>
      </c>
      <c r="G41" s="8" t="s">
        <v>12</v>
      </c>
      <c r="H41" s="8" t="s">
        <v>13</v>
      </c>
      <c r="I41" s="19">
        <v>509.6</v>
      </c>
      <c r="J41" s="9">
        <f>K41*I41</f>
        <v>108035.20000000001</v>
      </c>
      <c r="K41" s="8">
        <f>SUM(M41:AN41)</f>
        <v>212</v>
      </c>
      <c r="M41" s="10">
        <v>10</v>
      </c>
      <c r="N41" s="10">
        <v>10</v>
      </c>
      <c r="P41" s="11">
        <v>8</v>
      </c>
      <c r="Q41" s="11">
        <v>8</v>
      </c>
      <c r="R41" s="11">
        <v>8</v>
      </c>
      <c r="S41" s="11">
        <v>8</v>
      </c>
      <c r="T41" s="11">
        <v>8</v>
      </c>
      <c r="U41" s="11">
        <v>8</v>
      </c>
      <c r="V41" s="11">
        <v>8</v>
      </c>
      <c r="W41" s="11">
        <v>8</v>
      </c>
      <c r="X41" s="11">
        <v>8</v>
      </c>
      <c r="Y41" s="11">
        <v>8</v>
      </c>
      <c r="Z41" s="11">
        <v>8</v>
      </c>
      <c r="AA41" s="11">
        <v>8</v>
      </c>
      <c r="AC41" s="11">
        <v>8</v>
      </c>
      <c r="AD41" s="11">
        <v>8</v>
      </c>
      <c r="AE41" s="11">
        <v>8</v>
      </c>
      <c r="AF41" s="11">
        <v>8</v>
      </c>
      <c r="AG41" s="11">
        <v>8</v>
      </c>
      <c r="AH41" s="11">
        <v>8</v>
      </c>
      <c r="AI41" s="11">
        <v>8</v>
      </c>
      <c r="AJ41" s="11">
        <v>8</v>
      </c>
      <c r="AK41" s="11">
        <v>8</v>
      </c>
      <c r="AL41" s="11">
        <v>8</v>
      </c>
      <c r="AM41" s="11">
        <v>8</v>
      </c>
      <c r="AN41" s="11">
        <v>8</v>
      </c>
    </row>
    <row r="42" spans="1:40" ht="18.75" x14ac:dyDescent="0.25">
      <c r="B42" s="46"/>
      <c r="C42" s="7" t="s">
        <v>59</v>
      </c>
      <c r="D42" s="7" t="s">
        <v>57</v>
      </c>
      <c r="E42" s="7" t="s">
        <v>60</v>
      </c>
      <c r="F42" s="8" t="s">
        <v>11</v>
      </c>
      <c r="G42" s="8" t="s">
        <v>12</v>
      </c>
      <c r="H42" s="8" t="s">
        <v>13</v>
      </c>
      <c r="I42" s="19">
        <v>379.6</v>
      </c>
      <c r="J42" s="9">
        <f>K42*I42</f>
        <v>212576</v>
      </c>
      <c r="K42" s="8">
        <f>SUM(M42:AN42)</f>
        <v>560</v>
      </c>
      <c r="M42" s="10">
        <v>40</v>
      </c>
      <c r="N42" s="10">
        <v>40</v>
      </c>
      <c r="P42" s="11">
        <v>20</v>
      </c>
      <c r="Q42" s="11">
        <v>20</v>
      </c>
      <c r="R42" s="11">
        <v>20</v>
      </c>
      <c r="S42" s="11">
        <v>20</v>
      </c>
      <c r="T42" s="11">
        <v>20</v>
      </c>
      <c r="U42" s="11">
        <v>20</v>
      </c>
      <c r="V42" s="11">
        <v>20</v>
      </c>
      <c r="W42" s="11">
        <v>20</v>
      </c>
      <c r="X42" s="11">
        <v>20</v>
      </c>
      <c r="Y42" s="11">
        <v>20</v>
      </c>
      <c r="Z42" s="11">
        <v>20</v>
      </c>
      <c r="AA42" s="11">
        <v>20</v>
      </c>
      <c r="AC42" s="11">
        <v>20</v>
      </c>
      <c r="AD42" s="11">
        <v>20</v>
      </c>
      <c r="AE42" s="11">
        <v>20</v>
      </c>
      <c r="AF42" s="11">
        <v>20</v>
      </c>
      <c r="AG42" s="11">
        <v>20</v>
      </c>
      <c r="AH42" s="11">
        <v>20</v>
      </c>
      <c r="AI42" s="11">
        <v>20</v>
      </c>
      <c r="AJ42" s="11">
        <v>20</v>
      </c>
      <c r="AK42" s="11">
        <v>20</v>
      </c>
      <c r="AL42" s="11">
        <v>20</v>
      </c>
      <c r="AM42" s="11">
        <v>20</v>
      </c>
      <c r="AN42" s="11">
        <v>20</v>
      </c>
    </row>
    <row r="43" spans="1:40" ht="18.75" x14ac:dyDescent="0.25">
      <c r="B43" s="46"/>
      <c r="C43" s="7" t="s">
        <v>14</v>
      </c>
      <c r="D43" s="7" t="s">
        <v>57</v>
      </c>
      <c r="E43" s="7" t="s">
        <v>58</v>
      </c>
      <c r="F43" s="8" t="s">
        <v>11</v>
      </c>
      <c r="G43" s="8" t="s">
        <v>12</v>
      </c>
      <c r="H43" s="8" t="s">
        <v>13</v>
      </c>
      <c r="I43" s="19">
        <v>312</v>
      </c>
      <c r="J43" s="9">
        <f>K43*I43</f>
        <v>149760</v>
      </c>
      <c r="K43" s="8">
        <f>SUM(M43:AN43)</f>
        <v>480</v>
      </c>
      <c r="M43" s="18"/>
      <c r="N43" s="18"/>
      <c r="P43" s="11">
        <v>20</v>
      </c>
      <c r="Q43" s="11">
        <v>20</v>
      </c>
      <c r="R43" s="11">
        <v>20</v>
      </c>
      <c r="S43" s="11">
        <v>20</v>
      </c>
      <c r="T43" s="11">
        <v>20</v>
      </c>
      <c r="U43" s="11">
        <v>20</v>
      </c>
      <c r="V43" s="11">
        <v>20</v>
      </c>
      <c r="W43" s="11">
        <v>20</v>
      </c>
      <c r="X43" s="11">
        <v>20</v>
      </c>
      <c r="Y43" s="11">
        <v>20</v>
      </c>
      <c r="Z43" s="11">
        <v>20</v>
      </c>
      <c r="AA43" s="11">
        <v>20</v>
      </c>
      <c r="AC43" s="11">
        <v>20</v>
      </c>
      <c r="AD43" s="11">
        <v>20</v>
      </c>
      <c r="AE43" s="11">
        <v>20</v>
      </c>
      <c r="AF43" s="11">
        <v>20</v>
      </c>
      <c r="AG43" s="11">
        <v>20</v>
      </c>
      <c r="AH43" s="11">
        <v>20</v>
      </c>
      <c r="AI43" s="11">
        <v>20</v>
      </c>
      <c r="AJ43" s="11">
        <v>20</v>
      </c>
      <c r="AK43" s="11">
        <v>20</v>
      </c>
      <c r="AL43" s="11">
        <v>20</v>
      </c>
      <c r="AM43" s="11">
        <v>20</v>
      </c>
      <c r="AN43" s="11">
        <v>20</v>
      </c>
    </row>
    <row r="44" spans="1:40" ht="18.75" x14ac:dyDescent="0.25">
      <c r="B44" s="47" t="s">
        <v>55</v>
      </c>
      <c r="C44" s="47"/>
      <c r="D44" s="47"/>
      <c r="E44" s="47"/>
      <c r="F44" s="47"/>
      <c r="G44" s="47"/>
      <c r="H44" s="47"/>
      <c r="I44" s="47"/>
      <c r="J44" s="13">
        <f>SUM(J41:J43)</f>
        <v>470371.2</v>
      </c>
      <c r="K44" s="14">
        <f>SUM(K41:K43)</f>
        <v>1252</v>
      </c>
      <c r="M44" s="16"/>
      <c r="N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spans="1:40" ht="18.75" x14ac:dyDescent="0.25">
      <c r="A45" s="31"/>
      <c r="B45" s="44"/>
      <c r="C45" s="31"/>
      <c r="D45" s="31"/>
      <c r="E45" s="31"/>
      <c r="F45" s="31"/>
      <c r="G45" s="31"/>
      <c r="H45" s="31"/>
      <c r="I45" s="36"/>
      <c r="J45" s="34"/>
      <c r="L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B45" s="15"/>
      <c r="AC45" s="15"/>
      <c r="AD45" s="15"/>
      <c r="AE45" s="15"/>
      <c r="AF45" s="15"/>
      <c r="AG45" s="15"/>
      <c r="AI45" s="15"/>
      <c r="AJ45" s="15"/>
      <c r="AK45" s="15"/>
      <c r="AL45" s="15"/>
      <c r="AM45" s="15"/>
    </row>
    <row r="46" spans="1:40" ht="18.75" x14ac:dyDescent="0.25">
      <c r="B46" s="46" t="s">
        <v>62</v>
      </c>
      <c r="C46" s="7" t="s">
        <v>39</v>
      </c>
      <c r="D46" s="7" t="s">
        <v>26</v>
      </c>
      <c r="E46" s="7" t="s">
        <v>64</v>
      </c>
      <c r="F46" s="8" t="s">
        <v>11</v>
      </c>
      <c r="G46" s="8" t="s">
        <v>12</v>
      </c>
      <c r="H46" s="8" t="s">
        <v>13</v>
      </c>
      <c r="I46" s="19">
        <v>462.8</v>
      </c>
      <c r="J46" s="9">
        <f>K46*I46</f>
        <v>120328</v>
      </c>
      <c r="K46" s="8">
        <f>SUM(M46:AN46)</f>
        <v>260</v>
      </c>
      <c r="M46" s="10">
        <v>10</v>
      </c>
      <c r="N46" s="10">
        <v>10</v>
      </c>
      <c r="P46" s="11">
        <v>20</v>
      </c>
      <c r="Q46" s="11">
        <v>20</v>
      </c>
      <c r="R46" s="11">
        <v>20</v>
      </c>
      <c r="S46" s="11">
        <v>20</v>
      </c>
      <c r="T46" s="11">
        <v>20</v>
      </c>
      <c r="U46" s="11">
        <v>20</v>
      </c>
      <c r="V46" s="11">
        <v>20</v>
      </c>
      <c r="W46" s="11">
        <v>20</v>
      </c>
      <c r="X46" s="11">
        <v>20</v>
      </c>
      <c r="Y46" s="11">
        <v>20</v>
      </c>
      <c r="Z46" s="11">
        <v>20</v>
      </c>
      <c r="AA46" s="11">
        <v>20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40" ht="18.75" x14ac:dyDescent="0.25">
      <c r="B47" s="46"/>
      <c r="C47" s="7" t="s">
        <v>39</v>
      </c>
      <c r="D47" s="7" t="s">
        <v>26</v>
      </c>
      <c r="E47" s="7" t="s">
        <v>65</v>
      </c>
      <c r="F47" s="8" t="s">
        <v>11</v>
      </c>
      <c r="G47" s="8" t="s">
        <v>12</v>
      </c>
      <c r="H47" s="8" t="s">
        <v>13</v>
      </c>
      <c r="I47" s="19">
        <v>462.8</v>
      </c>
      <c r="J47" s="9">
        <f>K47*I47</f>
        <v>166608</v>
      </c>
      <c r="K47" s="8">
        <f>SUM(M47:AN47)</f>
        <v>360</v>
      </c>
      <c r="M47" s="18"/>
      <c r="N47" s="18"/>
      <c r="P47" s="18"/>
      <c r="Q47" s="18"/>
      <c r="R47" s="18"/>
      <c r="S47" s="18"/>
      <c r="T47" s="18"/>
      <c r="U47" s="18"/>
      <c r="V47" s="11">
        <v>20</v>
      </c>
      <c r="W47" s="11">
        <v>20</v>
      </c>
      <c r="X47" s="11">
        <v>20</v>
      </c>
      <c r="Y47" s="11">
        <v>20</v>
      </c>
      <c r="Z47" s="11">
        <v>20</v>
      </c>
      <c r="AA47" s="11">
        <v>20</v>
      </c>
      <c r="AC47" s="11">
        <v>20</v>
      </c>
      <c r="AD47" s="11">
        <v>20</v>
      </c>
      <c r="AE47" s="11">
        <v>20</v>
      </c>
      <c r="AF47" s="11">
        <v>20</v>
      </c>
      <c r="AG47" s="11">
        <v>20</v>
      </c>
      <c r="AH47" s="11">
        <v>20</v>
      </c>
      <c r="AI47" s="11">
        <v>20</v>
      </c>
      <c r="AJ47" s="11">
        <v>20</v>
      </c>
      <c r="AK47" s="11">
        <v>20</v>
      </c>
      <c r="AL47" s="11">
        <v>20</v>
      </c>
      <c r="AM47" s="11">
        <v>20</v>
      </c>
      <c r="AN47" s="11">
        <v>20</v>
      </c>
    </row>
    <row r="48" spans="1:40" ht="18.75" x14ac:dyDescent="0.25">
      <c r="B48" s="46"/>
      <c r="C48" s="7" t="s">
        <v>63</v>
      </c>
      <c r="D48" s="7" t="s">
        <v>26</v>
      </c>
      <c r="E48" s="7" t="s">
        <v>64</v>
      </c>
      <c r="F48" s="8" t="s">
        <v>11</v>
      </c>
      <c r="G48" s="8" t="s">
        <v>12</v>
      </c>
      <c r="H48" s="8" t="s">
        <v>13</v>
      </c>
      <c r="I48" s="19">
        <v>416</v>
      </c>
      <c r="J48" s="9">
        <f>K48*I48</f>
        <v>199680</v>
      </c>
      <c r="K48" s="8">
        <f>SUM(M48:AN48)</f>
        <v>480</v>
      </c>
      <c r="M48" s="18"/>
      <c r="N48" s="18"/>
      <c r="P48" s="11">
        <v>40</v>
      </c>
      <c r="Q48" s="11">
        <v>40</v>
      </c>
      <c r="R48" s="11">
        <v>40</v>
      </c>
      <c r="S48" s="11">
        <v>40</v>
      </c>
      <c r="T48" s="11">
        <v>40</v>
      </c>
      <c r="U48" s="11">
        <v>40</v>
      </c>
      <c r="V48" s="11">
        <v>40</v>
      </c>
      <c r="W48" s="11">
        <v>40</v>
      </c>
      <c r="X48" s="11">
        <v>40</v>
      </c>
      <c r="Y48" s="11">
        <v>40</v>
      </c>
      <c r="Z48" s="11">
        <v>40</v>
      </c>
      <c r="AA48" s="11">
        <v>40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spans="2:40" ht="18.75" x14ac:dyDescent="0.25">
      <c r="B49" s="46"/>
      <c r="C49" s="7" t="s">
        <v>63</v>
      </c>
      <c r="D49" s="7" t="s">
        <v>26</v>
      </c>
      <c r="E49" s="7" t="s">
        <v>65</v>
      </c>
      <c r="F49" s="8" t="s">
        <v>11</v>
      </c>
      <c r="G49" s="8" t="s">
        <v>12</v>
      </c>
      <c r="H49" s="8" t="s">
        <v>13</v>
      </c>
      <c r="I49" s="19">
        <v>93.6</v>
      </c>
      <c r="J49" s="9">
        <f>K49*I49</f>
        <v>67392</v>
      </c>
      <c r="K49" s="8">
        <f>SUM(M49:AN49)</f>
        <v>720</v>
      </c>
      <c r="M49" s="18"/>
      <c r="N49" s="18"/>
      <c r="P49" s="18"/>
      <c r="Q49" s="18"/>
      <c r="R49" s="18"/>
      <c r="S49" s="18"/>
      <c r="T49" s="18"/>
      <c r="U49" s="18"/>
      <c r="V49" s="11">
        <v>40</v>
      </c>
      <c r="W49" s="11">
        <v>40</v>
      </c>
      <c r="X49" s="11">
        <v>40</v>
      </c>
      <c r="Y49" s="11">
        <v>40</v>
      </c>
      <c r="Z49" s="11">
        <v>40</v>
      </c>
      <c r="AA49" s="11">
        <v>40</v>
      </c>
      <c r="AC49" s="11">
        <v>40</v>
      </c>
      <c r="AD49" s="11">
        <v>40</v>
      </c>
      <c r="AE49" s="11">
        <v>40</v>
      </c>
      <c r="AF49" s="11">
        <v>40</v>
      </c>
      <c r="AG49" s="11">
        <v>40</v>
      </c>
      <c r="AH49" s="11">
        <v>40</v>
      </c>
      <c r="AI49" s="11">
        <v>40</v>
      </c>
      <c r="AJ49" s="11">
        <v>40</v>
      </c>
      <c r="AK49" s="11">
        <v>40</v>
      </c>
      <c r="AL49" s="11">
        <v>40</v>
      </c>
      <c r="AM49" s="11">
        <v>40</v>
      </c>
      <c r="AN49" s="11">
        <v>40</v>
      </c>
    </row>
    <row r="50" spans="2:40" ht="18.75" x14ac:dyDescent="0.25">
      <c r="B50" s="46"/>
      <c r="C50" s="7" t="s">
        <v>63</v>
      </c>
      <c r="D50" s="7" t="s">
        <v>26</v>
      </c>
      <c r="E50" s="7" t="s">
        <v>65</v>
      </c>
      <c r="F50" s="8" t="s">
        <v>11</v>
      </c>
      <c r="G50" s="8" t="s">
        <v>12</v>
      </c>
      <c r="H50" s="8" t="s">
        <v>13</v>
      </c>
      <c r="I50" s="19">
        <v>416</v>
      </c>
      <c r="J50" s="9">
        <f>K50*I50</f>
        <v>216320</v>
      </c>
      <c r="K50" s="8">
        <f>SUM(M50:AN50)</f>
        <v>520</v>
      </c>
      <c r="M50" s="18"/>
      <c r="N50" s="18"/>
      <c r="P50" s="18"/>
      <c r="Q50" s="18"/>
      <c r="R50" s="18"/>
      <c r="S50" s="18"/>
      <c r="T50" s="18"/>
      <c r="U50" s="18"/>
      <c r="V50" s="11">
        <v>40</v>
      </c>
      <c r="W50" s="11">
        <v>40</v>
      </c>
      <c r="X50" s="11">
        <v>40</v>
      </c>
      <c r="Y50" s="11">
        <v>40</v>
      </c>
      <c r="Z50" s="11">
        <v>40</v>
      </c>
      <c r="AA50" s="11">
        <v>40</v>
      </c>
      <c r="AC50" s="11">
        <v>40</v>
      </c>
      <c r="AD50" s="11">
        <v>40</v>
      </c>
      <c r="AE50" s="11">
        <v>20</v>
      </c>
      <c r="AF50" s="11">
        <v>20</v>
      </c>
      <c r="AG50" s="11">
        <v>20</v>
      </c>
      <c r="AH50" s="11">
        <v>20</v>
      </c>
      <c r="AI50" s="11">
        <v>20</v>
      </c>
      <c r="AJ50" s="11">
        <v>20</v>
      </c>
      <c r="AK50" s="11">
        <v>20</v>
      </c>
      <c r="AL50" s="11">
        <v>20</v>
      </c>
      <c r="AM50" s="11">
        <v>20</v>
      </c>
      <c r="AN50" s="11">
        <v>20</v>
      </c>
    </row>
    <row r="51" spans="2:40" ht="18.75" x14ac:dyDescent="0.25">
      <c r="B51" s="47" t="s">
        <v>67</v>
      </c>
      <c r="C51" s="47"/>
      <c r="D51" s="47"/>
      <c r="E51" s="47"/>
      <c r="F51" s="47"/>
      <c r="G51" s="47"/>
      <c r="H51" s="47"/>
      <c r="I51" s="47"/>
      <c r="J51" s="13">
        <f>SUM(J46:J50)</f>
        <v>770328</v>
      </c>
      <c r="K51" s="14">
        <f>SUM(K46:K50)</f>
        <v>2340</v>
      </c>
      <c r="M51" s="16"/>
      <c r="N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3" spans="2:40" ht="26.25" x14ac:dyDescent="0.25">
      <c r="G53" s="45" t="s">
        <v>85</v>
      </c>
      <c r="H53" s="45"/>
      <c r="I53" s="45"/>
      <c r="J53" s="13">
        <f>SUM(J9+J25+J35+J39+J15+J44+J51+J29)</f>
        <v>3282656</v>
      </c>
      <c r="K53" s="17">
        <f>SUM(K9+K25+K29+K51+K35+K39+K15+K44)</f>
        <v>15872</v>
      </c>
    </row>
    <row r="55" spans="2:40" ht="26.25" x14ac:dyDescent="0.25">
      <c r="G55" s="45" t="s">
        <v>86</v>
      </c>
      <c r="H55" s="45"/>
      <c r="I55" s="45"/>
      <c r="J55" s="13">
        <f>482833*1.15</f>
        <v>555257.94999999995</v>
      </c>
      <c r="K55" s="18"/>
    </row>
    <row r="57" spans="2:40" ht="26.25" x14ac:dyDescent="0.25">
      <c r="G57" s="52" t="s">
        <v>84</v>
      </c>
      <c r="H57" s="52"/>
      <c r="I57" s="52"/>
      <c r="J57" s="13">
        <f>SUM(J53:J56)</f>
        <v>3837913.95</v>
      </c>
      <c r="K57" s="17">
        <f>SUM(K53:K56)</f>
        <v>15872</v>
      </c>
    </row>
    <row r="58" spans="2:40" hidden="1" x14ac:dyDescent="0.25"/>
    <row r="59" spans="2:40" ht="26.25" hidden="1" x14ac:dyDescent="0.25">
      <c r="G59" s="51" t="s">
        <v>87</v>
      </c>
      <c r="H59" s="51"/>
      <c r="I59" s="51"/>
      <c r="J59" s="13">
        <f>J57-J51</f>
        <v>3067585.95</v>
      </c>
      <c r="K59" s="17">
        <f>K57-K51</f>
        <v>13532</v>
      </c>
    </row>
    <row r="61" spans="2:40" ht="26.25" hidden="1" x14ac:dyDescent="0.25">
      <c r="G61" s="45" t="s">
        <v>70</v>
      </c>
      <c r="H61" s="45"/>
      <c r="I61" s="45"/>
      <c r="J61" s="39">
        <f>J59-3000000</f>
        <v>67585.950000000186</v>
      </c>
    </row>
    <row r="62" spans="2:40" hidden="1" x14ac:dyDescent="0.25"/>
    <row r="63" spans="2:40" hidden="1" x14ac:dyDescent="0.25"/>
    <row r="64" spans="2:40" ht="18.75" hidden="1" x14ac:dyDescent="0.25">
      <c r="B64" s="46" t="s">
        <v>79</v>
      </c>
      <c r="C64" s="7" t="s">
        <v>72</v>
      </c>
      <c r="D64" s="7" t="s">
        <v>26</v>
      </c>
      <c r="E64" s="7" t="s">
        <v>76</v>
      </c>
      <c r="F64" s="8" t="s">
        <v>11</v>
      </c>
      <c r="G64" s="8" t="s">
        <v>12</v>
      </c>
      <c r="H64" s="8" t="s">
        <v>68</v>
      </c>
      <c r="I64" s="19">
        <f>405/0.7</f>
        <v>578.57142857142856</v>
      </c>
      <c r="J64" s="9">
        <f>K64*I64</f>
        <v>11571.428571428571</v>
      </c>
      <c r="K64" s="8">
        <f>SUM(M64:AN64)</f>
        <v>20</v>
      </c>
      <c r="M64" s="18"/>
      <c r="N64" s="18"/>
      <c r="P64" s="11">
        <v>3</v>
      </c>
      <c r="Q64" s="11">
        <v>3</v>
      </c>
      <c r="R64" s="11">
        <v>3</v>
      </c>
      <c r="S64" s="11">
        <v>3</v>
      </c>
      <c r="T64" s="11">
        <v>2</v>
      </c>
      <c r="U64" s="11">
        <v>2</v>
      </c>
      <c r="V64" s="11">
        <v>2</v>
      </c>
      <c r="W64" s="11">
        <v>2</v>
      </c>
      <c r="X64" s="18"/>
      <c r="Y64" s="18"/>
      <c r="Z64" s="18"/>
      <c r="AA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2:40" ht="18.75" hidden="1" x14ac:dyDescent="0.25">
      <c r="B65" s="46"/>
      <c r="C65" s="7" t="s">
        <v>73</v>
      </c>
      <c r="D65" s="7" t="s">
        <v>26</v>
      </c>
      <c r="E65" s="7" t="s">
        <v>77</v>
      </c>
      <c r="F65" s="8" t="s">
        <v>11</v>
      </c>
      <c r="G65" s="8" t="s">
        <v>12</v>
      </c>
      <c r="H65" s="8" t="s">
        <v>68</v>
      </c>
      <c r="I65" s="19">
        <f>293/0.7</f>
        <v>418.57142857142861</v>
      </c>
      <c r="J65" s="9">
        <f>K65*I65</f>
        <v>26788.571428571431</v>
      </c>
      <c r="K65" s="8">
        <f>SUM(M65:AN65)</f>
        <v>64</v>
      </c>
      <c r="M65" s="18"/>
      <c r="N65" s="18"/>
      <c r="P65" s="11">
        <v>8</v>
      </c>
      <c r="Q65" s="11">
        <v>8</v>
      </c>
      <c r="R65" s="11">
        <v>8</v>
      </c>
      <c r="S65" s="11">
        <v>8</v>
      </c>
      <c r="T65" s="11">
        <v>8</v>
      </c>
      <c r="U65" s="11">
        <v>8</v>
      </c>
      <c r="V65" s="11">
        <v>8</v>
      </c>
      <c r="W65" s="11">
        <v>8</v>
      </c>
      <c r="X65" s="18"/>
      <c r="Y65" s="18"/>
      <c r="Z65" s="18"/>
      <c r="AA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2:40" ht="18.75" hidden="1" x14ac:dyDescent="0.25">
      <c r="B66" s="46"/>
      <c r="C66" s="7" t="s">
        <v>74</v>
      </c>
      <c r="D66" s="7" t="s">
        <v>26</v>
      </c>
      <c r="E66" s="7" t="s">
        <v>78</v>
      </c>
      <c r="F66" s="8" t="s">
        <v>11</v>
      </c>
      <c r="G66" s="8" t="s">
        <v>12</v>
      </c>
      <c r="H66" s="8" t="s">
        <v>68</v>
      </c>
      <c r="I66" s="19">
        <f>250/0.7</f>
        <v>357.14285714285717</v>
      </c>
      <c r="J66" s="9">
        <f>K66*I66</f>
        <v>114285.71428571429</v>
      </c>
      <c r="K66" s="8">
        <f>SUM(M66:AN66)</f>
        <v>320</v>
      </c>
      <c r="M66" s="18"/>
      <c r="N66" s="18"/>
      <c r="P66" s="11">
        <v>40</v>
      </c>
      <c r="Q66" s="11">
        <v>40</v>
      </c>
      <c r="R66" s="11">
        <v>40</v>
      </c>
      <c r="S66" s="11">
        <v>40</v>
      </c>
      <c r="T66" s="11">
        <v>40</v>
      </c>
      <c r="U66" s="11">
        <v>40</v>
      </c>
      <c r="V66" s="11">
        <v>40</v>
      </c>
      <c r="W66" s="11">
        <v>40</v>
      </c>
      <c r="X66" s="18"/>
      <c r="Y66" s="18"/>
      <c r="Z66" s="18"/>
      <c r="AA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2:40" ht="18.75" hidden="1" x14ac:dyDescent="0.25">
      <c r="B67" s="46"/>
      <c r="C67" s="7" t="s">
        <v>75</v>
      </c>
      <c r="D67" s="7" t="s">
        <v>26</v>
      </c>
      <c r="E67" s="7" t="s">
        <v>78</v>
      </c>
      <c r="F67" s="8" t="s">
        <v>16</v>
      </c>
      <c r="G67" s="27" t="s">
        <v>17</v>
      </c>
      <c r="H67" s="8" t="s">
        <v>68</v>
      </c>
      <c r="I67" s="19">
        <f>75/0.7</f>
        <v>107.14285714285715</v>
      </c>
      <c r="J67" s="9">
        <f>K67*I67</f>
        <v>34285.71428571429</v>
      </c>
      <c r="K67" s="8">
        <f>SUM(M67:AN67)</f>
        <v>320</v>
      </c>
      <c r="M67" s="18"/>
      <c r="N67" s="18"/>
      <c r="P67" s="11">
        <v>40</v>
      </c>
      <c r="Q67" s="11">
        <v>40</v>
      </c>
      <c r="R67" s="11">
        <v>40</v>
      </c>
      <c r="S67" s="11">
        <v>40</v>
      </c>
      <c r="T67" s="11">
        <v>40</v>
      </c>
      <c r="U67" s="11">
        <v>40</v>
      </c>
      <c r="V67" s="11">
        <v>40</v>
      </c>
      <c r="W67" s="11">
        <v>40</v>
      </c>
      <c r="X67" s="18"/>
      <c r="Y67" s="18"/>
      <c r="Z67" s="18"/>
      <c r="AA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2:40" ht="18.75" hidden="1" x14ac:dyDescent="0.25">
      <c r="B68" s="46"/>
      <c r="C68" s="7" t="s">
        <v>75</v>
      </c>
      <c r="D68" s="7" t="s">
        <v>26</v>
      </c>
      <c r="E68" s="7" t="s">
        <v>78</v>
      </c>
      <c r="F68" s="8" t="s">
        <v>16</v>
      </c>
      <c r="G68" s="27" t="s">
        <v>17</v>
      </c>
      <c r="H68" s="8" t="s">
        <v>68</v>
      </c>
      <c r="I68" s="19">
        <f>75/0.7</f>
        <v>107.14285714285715</v>
      </c>
      <c r="J68" s="9">
        <f>K68*I68</f>
        <v>34285.71428571429</v>
      </c>
      <c r="K68" s="8">
        <f>SUM(M68:AN68)</f>
        <v>320</v>
      </c>
      <c r="M68" s="18"/>
      <c r="N68" s="18"/>
      <c r="P68" s="11">
        <v>40</v>
      </c>
      <c r="Q68" s="11">
        <v>40</v>
      </c>
      <c r="R68" s="11">
        <v>40</v>
      </c>
      <c r="S68" s="11">
        <v>40</v>
      </c>
      <c r="T68" s="11">
        <v>40</v>
      </c>
      <c r="U68" s="11">
        <v>40</v>
      </c>
      <c r="V68" s="11">
        <v>40</v>
      </c>
      <c r="W68" s="11">
        <v>40</v>
      </c>
      <c r="X68" s="18"/>
      <c r="Y68" s="18"/>
      <c r="Z68" s="18"/>
      <c r="AA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spans="2:40" ht="18.75" hidden="1" x14ac:dyDescent="0.25">
      <c r="B69" s="47" t="s">
        <v>81</v>
      </c>
      <c r="C69" s="47"/>
      <c r="D69" s="47"/>
      <c r="E69" s="47"/>
      <c r="F69" s="47"/>
      <c r="G69" s="47"/>
      <c r="H69" s="47"/>
      <c r="I69" s="47"/>
      <c r="J69" s="13">
        <f>SUM(J64:J68)</f>
        <v>221217.14285714287</v>
      </c>
      <c r="K69" s="14">
        <f>SUM(K64:K68)</f>
        <v>1044</v>
      </c>
      <c r="M69" s="16"/>
      <c r="N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spans="2:40" hidden="1" x14ac:dyDescent="0.25"/>
    <row r="71" spans="2:40" ht="18.75" hidden="1" customHeight="1" x14ac:dyDescent="0.25">
      <c r="B71" s="46" t="s">
        <v>80</v>
      </c>
      <c r="C71" s="7" t="s">
        <v>39</v>
      </c>
      <c r="D71" s="7" t="s">
        <v>26</v>
      </c>
      <c r="E71" s="7" t="s">
        <v>76</v>
      </c>
      <c r="F71" s="8" t="s">
        <v>11</v>
      </c>
      <c r="G71" s="8" t="s">
        <v>12</v>
      </c>
      <c r="H71" s="8" t="s">
        <v>68</v>
      </c>
      <c r="I71" s="19">
        <f>405/0.7</f>
        <v>578.57142857142856</v>
      </c>
      <c r="J71" s="9">
        <f>K71*I71</f>
        <v>11571.428571428571</v>
      </c>
      <c r="K71" s="8">
        <f>SUM(M71:AN71)</f>
        <v>20</v>
      </c>
      <c r="M71" s="18"/>
      <c r="N71" s="18"/>
      <c r="P71" s="11">
        <v>3</v>
      </c>
      <c r="Q71" s="11">
        <v>3</v>
      </c>
      <c r="R71" s="11">
        <v>3</v>
      </c>
      <c r="S71" s="11">
        <v>3</v>
      </c>
      <c r="T71" s="11">
        <v>2</v>
      </c>
      <c r="U71" s="11">
        <v>2</v>
      </c>
      <c r="V71" s="11">
        <v>2</v>
      </c>
      <c r="W71" s="11">
        <v>2</v>
      </c>
      <c r="X71" s="18"/>
      <c r="Y71" s="18"/>
      <c r="Z71" s="18"/>
      <c r="AA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2:40" ht="18.75" hidden="1" x14ac:dyDescent="0.25">
      <c r="B72" s="46"/>
      <c r="C72" s="7" t="s">
        <v>39</v>
      </c>
      <c r="D72" s="7" t="s">
        <v>26</v>
      </c>
      <c r="E72" s="7" t="s">
        <v>77</v>
      </c>
      <c r="F72" s="8" t="s">
        <v>11</v>
      </c>
      <c r="G72" s="8" t="s">
        <v>12</v>
      </c>
      <c r="H72" s="8" t="s">
        <v>68</v>
      </c>
      <c r="I72" s="19">
        <f>293/0.7</f>
        <v>418.57142857142861</v>
      </c>
      <c r="J72" s="9">
        <f>K72*I72</f>
        <v>26788.571428571431</v>
      </c>
      <c r="K72" s="8">
        <f>SUM(M72:AN72)</f>
        <v>64</v>
      </c>
      <c r="M72" s="18"/>
      <c r="N72" s="18"/>
      <c r="P72" s="11">
        <v>8</v>
      </c>
      <c r="Q72" s="11">
        <v>8</v>
      </c>
      <c r="R72" s="11">
        <v>8</v>
      </c>
      <c r="S72" s="11">
        <v>8</v>
      </c>
      <c r="T72" s="11">
        <v>8</v>
      </c>
      <c r="U72" s="11">
        <v>8</v>
      </c>
      <c r="V72" s="11">
        <v>8</v>
      </c>
      <c r="W72" s="11">
        <v>8</v>
      </c>
      <c r="X72" s="18"/>
      <c r="Y72" s="18"/>
      <c r="Z72" s="18"/>
      <c r="AA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2:40" ht="18.75" hidden="1" x14ac:dyDescent="0.25">
      <c r="B73" s="46"/>
      <c r="C73" s="7" t="s">
        <v>63</v>
      </c>
      <c r="D73" s="7" t="s">
        <v>26</v>
      </c>
      <c r="E73" s="7" t="s">
        <v>78</v>
      </c>
      <c r="F73" s="8" t="s">
        <v>11</v>
      </c>
      <c r="G73" s="8" t="s">
        <v>12</v>
      </c>
      <c r="H73" s="8" t="s">
        <v>68</v>
      </c>
      <c r="I73" s="19">
        <f>250/0.7</f>
        <v>357.14285714285717</v>
      </c>
      <c r="J73" s="9">
        <f>K73*I73</f>
        <v>114285.71428571429</v>
      </c>
      <c r="K73" s="8">
        <f>SUM(M73:AN73)</f>
        <v>320</v>
      </c>
      <c r="M73" s="18"/>
      <c r="N73" s="18"/>
      <c r="P73" s="11">
        <v>40</v>
      </c>
      <c r="Q73" s="11">
        <v>40</v>
      </c>
      <c r="R73" s="11">
        <v>40</v>
      </c>
      <c r="S73" s="11">
        <v>40</v>
      </c>
      <c r="T73" s="11">
        <v>40</v>
      </c>
      <c r="U73" s="11">
        <v>40</v>
      </c>
      <c r="V73" s="11">
        <v>40</v>
      </c>
      <c r="W73" s="11">
        <v>40</v>
      </c>
      <c r="X73" s="18"/>
      <c r="Y73" s="18"/>
      <c r="Z73" s="18"/>
      <c r="AA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spans="2:40" ht="18.75" hidden="1" x14ac:dyDescent="0.25">
      <c r="B74" s="46"/>
      <c r="C74" s="7" t="s">
        <v>63</v>
      </c>
      <c r="D74" s="7" t="s">
        <v>26</v>
      </c>
      <c r="E74" s="7" t="s">
        <v>78</v>
      </c>
      <c r="F74" s="8" t="s">
        <v>11</v>
      </c>
      <c r="G74" s="27" t="s">
        <v>17</v>
      </c>
      <c r="H74" s="8" t="s">
        <v>68</v>
      </c>
      <c r="I74" s="19">
        <f>75/0.7</f>
        <v>107.14285714285715</v>
      </c>
      <c r="J74" s="9">
        <f>K74*I74</f>
        <v>34285.71428571429</v>
      </c>
      <c r="K74" s="8">
        <f>SUM(M74:AN74)</f>
        <v>320</v>
      </c>
      <c r="M74" s="18"/>
      <c r="N74" s="18"/>
      <c r="P74" s="11">
        <v>40</v>
      </c>
      <c r="Q74" s="11">
        <v>40</v>
      </c>
      <c r="R74" s="11">
        <v>40</v>
      </c>
      <c r="S74" s="11">
        <v>40</v>
      </c>
      <c r="T74" s="11">
        <v>40</v>
      </c>
      <c r="U74" s="11">
        <v>40</v>
      </c>
      <c r="V74" s="11">
        <v>40</v>
      </c>
      <c r="W74" s="11">
        <v>40</v>
      </c>
      <c r="X74" s="18"/>
      <c r="Y74" s="18"/>
      <c r="Z74" s="18"/>
      <c r="AA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spans="2:40" ht="18.75" hidden="1" x14ac:dyDescent="0.25">
      <c r="B75" s="46"/>
      <c r="C75" s="7" t="s">
        <v>63</v>
      </c>
      <c r="D75" s="7" t="s">
        <v>26</v>
      </c>
      <c r="E75" s="7" t="s">
        <v>78</v>
      </c>
      <c r="F75" s="8" t="s">
        <v>11</v>
      </c>
      <c r="G75" s="27" t="s">
        <v>17</v>
      </c>
      <c r="H75" s="8" t="s">
        <v>68</v>
      </c>
      <c r="I75" s="19">
        <f>75/0.7</f>
        <v>107.14285714285715</v>
      </c>
      <c r="J75" s="9">
        <f>K75*I75</f>
        <v>34285.71428571429</v>
      </c>
      <c r="K75" s="8">
        <f>SUM(M75:AN75)</f>
        <v>320</v>
      </c>
      <c r="M75" s="18"/>
      <c r="N75" s="18"/>
      <c r="P75" s="11">
        <v>40</v>
      </c>
      <c r="Q75" s="11">
        <v>40</v>
      </c>
      <c r="R75" s="11">
        <v>40</v>
      </c>
      <c r="S75" s="11">
        <v>40</v>
      </c>
      <c r="T75" s="11">
        <v>40</v>
      </c>
      <c r="U75" s="11">
        <v>40</v>
      </c>
      <c r="V75" s="11">
        <v>40</v>
      </c>
      <c r="W75" s="11">
        <v>40</v>
      </c>
      <c r="X75" s="18"/>
      <c r="Y75" s="18"/>
      <c r="Z75" s="18"/>
      <c r="AA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spans="2:40" ht="18.75" hidden="1" x14ac:dyDescent="0.25">
      <c r="B76" s="47" t="s">
        <v>82</v>
      </c>
      <c r="C76" s="47"/>
      <c r="D76" s="47"/>
      <c r="E76" s="47"/>
      <c r="F76" s="47"/>
      <c r="G76" s="47"/>
      <c r="H76" s="47"/>
      <c r="I76" s="47"/>
      <c r="J76" s="13">
        <f>SUM(J71:J75)</f>
        <v>221217.14285714287</v>
      </c>
      <c r="K76" s="14">
        <f>SUM(K71:K75)</f>
        <v>1044</v>
      </c>
      <c r="M76" s="16"/>
      <c r="N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spans="2:40" hidden="1" x14ac:dyDescent="0.25"/>
    <row r="78" spans="2:40" ht="26.25" hidden="1" x14ac:dyDescent="0.25">
      <c r="G78" s="45" t="s">
        <v>83</v>
      </c>
      <c r="H78" s="45"/>
      <c r="I78" s="45"/>
      <c r="J78" s="13">
        <f>J69+J76</f>
        <v>442434.28571428574</v>
      </c>
      <c r="K78" s="14">
        <f>K69+K76</f>
        <v>2088</v>
      </c>
    </row>
    <row r="79" spans="2:40" hidden="1" x14ac:dyDescent="0.25"/>
    <row r="80" spans="2:40" hidden="1" x14ac:dyDescent="0.25"/>
    <row r="81" spans="7:11" hidden="1" x14ac:dyDescent="0.25"/>
    <row r="82" spans="7:11" hidden="1" x14ac:dyDescent="0.25"/>
    <row r="83" spans="7:11" ht="26.25" x14ac:dyDescent="0.25">
      <c r="G83" s="52" t="s">
        <v>89</v>
      </c>
      <c r="H83" s="52"/>
      <c r="I83" s="52"/>
      <c r="J83" s="13">
        <v>58519.41</v>
      </c>
      <c r="K83" s="18"/>
    </row>
    <row r="85" spans="7:11" ht="26.25" x14ac:dyDescent="0.25">
      <c r="G85" s="52" t="s">
        <v>90</v>
      </c>
      <c r="H85" s="52"/>
      <c r="I85" s="52"/>
      <c r="J85" s="13">
        <f>J57+J83</f>
        <v>3896433.3600000003</v>
      </c>
      <c r="K85" s="17">
        <f>K57+K83</f>
        <v>15872</v>
      </c>
    </row>
  </sheetData>
  <mergeCells count="33">
    <mergeCell ref="G78:I78"/>
    <mergeCell ref="G83:I83"/>
    <mergeCell ref="G85:I85"/>
    <mergeCell ref="G59:I59"/>
    <mergeCell ref="G61:I61"/>
    <mergeCell ref="B64:B68"/>
    <mergeCell ref="B69:I69"/>
    <mergeCell ref="B71:B75"/>
    <mergeCell ref="B76:I76"/>
    <mergeCell ref="B44:I44"/>
    <mergeCell ref="B46:B50"/>
    <mergeCell ref="B51:I51"/>
    <mergeCell ref="G53:I53"/>
    <mergeCell ref="G55:I55"/>
    <mergeCell ref="G57:I57"/>
    <mergeCell ref="B29:I29"/>
    <mergeCell ref="B31:B34"/>
    <mergeCell ref="B35:I35"/>
    <mergeCell ref="B37:B38"/>
    <mergeCell ref="B39:I39"/>
    <mergeCell ref="B41:B43"/>
    <mergeCell ref="B9:I9"/>
    <mergeCell ref="B11:B14"/>
    <mergeCell ref="B15:I15"/>
    <mergeCell ref="B17:B24"/>
    <mergeCell ref="B25:I25"/>
    <mergeCell ref="B27:B28"/>
    <mergeCell ref="M3:N3"/>
    <mergeCell ref="P3:AN3"/>
    <mergeCell ref="M5:N5"/>
    <mergeCell ref="P5:AA5"/>
    <mergeCell ref="AC5:AN5"/>
    <mergeCell ref="B7:B8"/>
  </mergeCells>
  <pageMargins left="0.7" right="0.7" top="0.75" bottom="0.75" header="0.3" footer="0.3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6465-0379-4871-A20E-89527A8BCE02}">
  <dimension ref="A2:AN81"/>
  <sheetViews>
    <sheetView zoomScale="70" zoomScaleNormal="70" workbookViewId="0">
      <pane ySplit="5" topLeftCell="A6" activePane="bottomLeft" state="frozen"/>
      <selection pane="bottomLeft" activeCell="A8" sqref="A8:XFD8"/>
    </sheetView>
  </sheetViews>
  <sheetFormatPr defaultColWidth="8.85546875" defaultRowHeight="15" x14ac:dyDescent="0.25"/>
  <cols>
    <col min="1" max="1" width="3.140625" style="3" customWidth="1"/>
    <col min="2" max="2" width="22.7109375" style="28" customWidth="1"/>
    <col min="3" max="3" width="42.42578125" style="1" customWidth="1"/>
    <col min="4" max="4" width="12.140625" style="1" bestFit="1" customWidth="1"/>
    <col min="5" max="5" width="46.7109375" style="1" bestFit="1" customWidth="1"/>
    <col min="6" max="6" width="15" style="2" customWidth="1"/>
    <col min="7" max="7" width="13.42578125" style="2" hidden="1" customWidth="1"/>
    <col min="8" max="8" width="15.42578125" style="3" hidden="1" customWidth="1"/>
    <col min="9" max="9" width="14.140625" style="3" hidden="1" customWidth="1"/>
    <col min="10" max="10" width="14.42578125" style="3" hidden="1" customWidth="1"/>
    <col min="11" max="11" width="10.5703125" style="3" customWidth="1"/>
    <col min="12" max="12" width="1.7109375" style="3" customWidth="1"/>
    <col min="13" max="14" width="11.85546875" style="3" customWidth="1"/>
    <col min="15" max="15" width="2.7109375" style="3" customWidth="1"/>
    <col min="16" max="17" width="10.7109375" style="3" bestFit="1" customWidth="1"/>
    <col min="18" max="23" width="4.85546875" style="3" customWidth="1"/>
    <col min="24" max="24" width="5.28515625" style="3" customWidth="1"/>
    <col min="25" max="25" width="4.85546875" style="3" customWidth="1"/>
    <col min="26" max="26" width="5.28515625" style="3" customWidth="1"/>
    <col min="27" max="27" width="11.7109375" style="3" bestFit="1" customWidth="1"/>
    <col min="28" max="28" width="2.7109375" style="3" customWidth="1"/>
    <col min="29" max="29" width="5.28515625" style="3" customWidth="1"/>
    <col min="30" max="30" width="14.140625" style="3" customWidth="1"/>
    <col min="31" max="32" width="5.28515625" style="3" customWidth="1"/>
    <col min="33" max="33" width="5.85546875" style="3" customWidth="1"/>
    <col min="34" max="38" width="5.28515625" style="3" customWidth="1"/>
    <col min="39" max="39" width="5.85546875" style="3" customWidth="1"/>
    <col min="40" max="40" width="14.28515625" style="3" customWidth="1"/>
    <col min="41" max="16384" width="8.85546875" style="3"/>
  </cols>
  <sheetData>
    <row r="2" spans="2:40" s="2" customFormat="1" ht="18.75" x14ac:dyDescent="0.25">
      <c r="B2" s="4" t="s">
        <v>0</v>
      </c>
      <c r="C2" s="4" t="s">
        <v>1</v>
      </c>
      <c r="D2" s="4" t="s">
        <v>0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5" t="s">
        <v>7</v>
      </c>
      <c r="K2" s="4" t="s">
        <v>8</v>
      </c>
      <c r="M2" s="4">
        <v>1</v>
      </c>
      <c r="N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C2" s="4">
        <v>15</v>
      </c>
      <c r="AD2" s="4">
        <v>16</v>
      </c>
      <c r="AE2" s="4">
        <v>17</v>
      </c>
      <c r="AF2" s="4">
        <v>18</v>
      </c>
      <c r="AG2" s="4">
        <v>19</v>
      </c>
      <c r="AH2" s="4">
        <v>20</v>
      </c>
      <c r="AI2" s="4">
        <v>21</v>
      </c>
      <c r="AJ2" s="4">
        <v>22</v>
      </c>
      <c r="AK2" s="4">
        <v>23</v>
      </c>
      <c r="AL2" s="4">
        <v>24</v>
      </c>
      <c r="AM2" s="4">
        <v>25</v>
      </c>
      <c r="AN2" s="4">
        <v>26</v>
      </c>
    </row>
    <row r="3" spans="2:40" ht="18.75" x14ac:dyDescent="0.25">
      <c r="F3" s="6"/>
      <c r="G3" s="6"/>
      <c r="H3" s="6"/>
      <c r="I3" s="6"/>
      <c r="J3" s="6"/>
      <c r="K3" s="6"/>
      <c r="M3" s="48" t="s">
        <v>9</v>
      </c>
      <c r="N3" s="48"/>
      <c r="P3" s="49" t="s">
        <v>24</v>
      </c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</row>
    <row r="4" spans="2:40" ht="18.75" x14ac:dyDescent="0.25">
      <c r="F4" s="6"/>
      <c r="G4" s="6"/>
      <c r="H4" s="6"/>
      <c r="I4" s="6"/>
      <c r="J4" s="6"/>
      <c r="K4" s="6"/>
      <c r="M4" s="41">
        <v>46216</v>
      </c>
      <c r="N4" s="41">
        <v>46223</v>
      </c>
      <c r="P4" s="42">
        <v>46230</v>
      </c>
      <c r="Q4" s="42">
        <v>46237</v>
      </c>
      <c r="R4" s="42">
        <v>46244</v>
      </c>
      <c r="S4" s="42">
        <v>46251</v>
      </c>
      <c r="T4" s="42">
        <v>46258</v>
      </c>
      <c r="U4" s="42">
        <v>46265</v>
      </c>
      <c r="V4" s="42">
        <v>46272</v>
      </c>
      <c r="W4" s="42">
        <v>46279</v>
      </c>
      <c r="X4" s="42">
        <v>46286</v>
      </c>
      <c r="Y4" s="42">
        <v>46293</v>
      </c>
      <c r="Z4" s="42">
        <v>46300</v>
      </c>
      <c r="AA4" s="42">
        <v>46307</v>
      </c>
      <c r="AB4" s="40"/>
      <c r="AC4" s="42">
        <v>46314</v>
      </c>
      <c r="AD4" s="42">
        <v>46321</v>
      </c>
      <c r="AE4" s="42">
        <v>46328</v>
      </c>
      <c r="AF4" s="42">
        <v>46335</v>
      </c>
      <c r="AG4" s="42">
        <v>46342</v>
      </c>
      <c r="AH4" s="42">
        <v>46349</v>
      </c>
      <c r="AI4" s="42">
        <v>46356</v>
      </c>
      <c r="AJ4" s="42">
        <v>46363</v>
      </c>
      <c r="AK4" s="42">
        <v>46370</v>
      </c>
      <c r="AL4" s="42">
        <v>46377</v>
      </c>
      <c r="AM4" s="42">
        <v>46384</v>
      </c>
      <c r="AN4" s="42">
        <v>46391</v>
      </c>
    </row>
    <row r="5" spans="2:40" ht="18.75" x14ac:dyDescent="0.25">
      <c r="F5" s="6"/>
      <c r="G5" s="6"/>
      <c r="H5" s="6"/>
      <c r="I5" s="6"/>
      <c r="J5" s="6"/>
      <c r="K5" s="6"/>
      <c r="M5" s="50" t="s">
        <v>46</v>
      </c>
      <c r="N5" s="50"/>
      <c r="P5" s="50" t="s">
        <v>54</v>
      </c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C5" s="50" t="s">
        <v>54</v>
      </c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</row>
    <row r="6" spans="2:40" x14ac:dyDescent="0.25">
      <c r="B6" s="3"/>
      <c r="C6" s="3"/>
      <c r="D6" s="3"/>
      <c r="E6" s="3"/>
      <c r="F6" s="3"/>
      <c r="G6" s="3"/>
    </row>
    <row r="7" spans="2:40" ht="18.75" x14ac:dyDescent="0.25">
      <c r="B7" s="46" t="s">
        <v>15</v>
      </c>
      <c r="C7" s="7" t="s">
        <v>10</v>
      </c>
      <c r="D7" s="7" t="s">
        <v>25</v>
      </c>
      <c r="E7" s="7" t="s">
        <v>42</v>
      </c>
      <c r="F7" s="8" t="s">
        <v>11</v>
      </c>
      <c r="G7" s="8" t="s">
        <v>12</v>
      </c>
      <c r="H7" s="8" t="s">
        <v>13</v>
      </c>
      <c r="I7" s="19">
        <v>379.6</v>
      </c>
      <c r="J7" s="9">
        <f>K7*I7</f>
        <v>394784</v>
      </c>
      <c r="K7" s="8">
        <f>SUM(M7:AN7)</f>
        <v>1040</v>
      </c>
      <c r="M7" s="10">
        <v>40</v>
      </c>
      <c r="N7" s="10">
        <v>40</v>
      </c>
      <c r="P7" s="11">
        <v>40</v>
      </c>
      <c r="Q7" s="11">
        <v>40</v>
      </c>
      <c r="R7" s="11">
        <v>40</v>
      </c>
      <c r="S7" s="11">
        <v>40</v>
      </c>
      <c r="T7" s="11">
        <v>40</v>
      </c>
      <c r="U7" s="11">
        <v>40</v>
      </c>
      <c r="V7" s="11">
        <v>40</v>
      </c>
      <c r="W7" s="11">
        <v>40</v>
      </c>
      <c r="X7" s="11">
        <v>40</v>
      </c>
      <c r="Y7" s="11">
        <v>40</v>
      </c>
      <c r="Z7" s="11">
        <v>40</v>
      </c>
      <c r="AA7" s="11">
        <v>40</v>
      </c>
      <c r="AC7" s="11">
        <v>40</v>
      </c>
      <c r="AD7" s="11">
        <v>40</v>
      </c>
      <c r="AE7" s="11">
        <v>40</v>
      </c>
      <c r="AF7" s="11">
        <v>40</v>
      </c>
      <c r="AG7" s="11">
        <v>40</v>
      </c>
      <c r="AH7" s="11">
        <v>40</v>
      </c>
      <c r="AI7" s="11">
        <v>40</v>
      </c>
      <c r="AJ7" s="11">
        <v>40</v>
      </c>
      <c r="AK7" s="11">
        <v>40</v>
      </c>
      <c r="AL7" s="11">
        <v>40</v>
      </c>
      <c r="AM7" s="11">
        <v>40</v>
      </c>
      <c r="AN7" s="11">
        <v>40</v>
      </c>
    </row>
    <row r="8" spans="2:40" ht="18.75" x14ac:dyDescent="0.25">
      <c r="B8" s="46"/>
      <c r="C8" s="7" t="s">
        <v>10</v>
      </c>
      <c r="D8" s="7" t="s">
        <v>25</v>
      </c>
      <c r="E8" s="20" t="s">
        <v>71</v>
      </c>
      <c r="F8" s="8" t="s">
        <v>11</v>
      </c>
      <c r="G8" s="8" t="s">
        <v>12</v>
      </c>
      <c r="H8" s="8" t="s">
        <v>13</v>
      </c>
      <c r="I8" s="19">
        <v>379.6</v>
      </c>
      <c r="J8" s="9">
        <f>K8*I8</f>
        <v>212576</v>
      </c>
      <c r="K8" s="8">
        <f>SUM(M8:AN8)</f>
        <v>560</v>
      </c>
      <c r="M8" s="10">
        <v>40</v>
      </c>
      <c r="N8" s="10">
        <v>40</v>
      </c>
      <c r="P8" s="11">
        <v>40</v>
      </c>
      <c r="Q8" s="11">
        <v>40</v>
      </c>
      <c r="R8" s="11">
        <v>40</v>
      </c>
      <c r="S8" s="11">
        <v>40</v>
      </c>
      <c r="T8" s="11">
        <v>40</v>
      </c>
      <c r="U8" s="11">
        <v>40</v>
      </c>
      <c r="V8" s="11">
        <v>40</v>
      </c>
      <c r="W8" s="11">
        <v>40</v>
      </c>
      <c r="X8" s="11">
        <v>40</v>
      </c>
      <c r="Y8" s="11">
        <v>40</v>
      </c>
      <c r="Z8" s="11">
        <v>40</v>
      </c>
      <c r="AA8" s="11">
        <v>40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2:40" ht="18.75" x14ac:dyDescent="0.25">
      <c r="B9" s="47" t="s">
        <v>15</v>
      </c>
      <c r="C9" s="47"/>
      <c r="D9" s="47"/>
      <c r="E9" s="47"/>
      <c r="F9" s="47"/>
      <c r="G9" s="47"/>
      <c r="H9" s="47"/>
      <c r="I9" s="47"/>
      <c r="J9" s="13">
        <f>SUM(J7:J8)</f>
        <v>607360</v>
      </c>
      <c r="K9" s="14">
        <f>SUM(K7:K8)</f>
        <v>1600</v>
      </c>
      <c r="M9" s="15"/>
      <c r="N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 spans="2:40" ht="18.75" x14ac:dyDescent="0.25">
      <c r="B10" s="43"/>
      <c r="C10" s="21"/>
      <c r="D10" s="21"/>
      <c r="E10" s="21"/>
      <c r="F10" s="22"/>
      <c r="G10" s="22"/>
      <c r="H10" s="22"/>
      <c r="I10" s="23"/>
      <c r="J10" s="24"/>
      <c r="K10" s="22"/>
      <c r="L10" s="25"/>
      <c r="M10" s="26"/>
      <c r="N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 spans="2:40" ht="18.75" x14ac:dyDescent="0.25">
      <c r="B11" s="46" t="s">
        <v>44</v>
      </c>
      <c r="C11" s="7" t="s">
        <v>21</v>
      </c>
      <c r="D11" s="7" t="s">
        <v>25</v>
      </c>
      <c r="E11" s="7" t="s">
        <v>35</v>
      </c>
      <c r="F11" s="8" t="s">
        <v>11</v>
      </c>
      <c r="G11" s="8" t="s">
        <v>12</v>
      </c>
      <c r="H11" s="8" t="s">
        <v>13</v>
      </c>
      <c r="I11" s="19">
        <v>421.2</v>
      </c>
      <c r="J11" s="9">
        <f>K11*I11</f>
        <v>155001.60000000001</v>
      </c>
      <c r="K11" s="8">
        <f>SUM(M11:AN11)</f>
        <v>368</v>
      </c>
      <c r="M11" s="10">
        <v>16</v>
      </c>
      <c r="N11" s="10">
        <v>16</v>
      </c>
      <c r="P11" s="11">
        <v>16</v>
      </c>
      <c r="Q11" s="11">
        <v>16</v>
      </c>
      <c r="R11" s="11">
        <v>16</v>
      </c>
      <c r="S11" s="11">
        <v>16</v>
      </c>
      <c r="T11" s="11">
        <v>16</v>
      </c>
      <c r="U11" s="11">
        <v>16</v>
      </c>
      <c r="V11" s="11">
        <v>16</v>
      </c>
      <c r="W11" s="11">
        <v>16</v>
      </c>
      <c r="X11" s="11">
        <v>16</v>
      </c>
      <c r="Y11" s="11">
        <v>16</v>
      </c>
      <c r="Z11" s="11">
        <v>16</v>
      </c>
      <c r="AA11" s="11">
        <v>16</v>
      </c>
      <c r="AC11" s="11">
        <v>12</v>
      </c>
      <c r="AD11" s="11">
        <v>12</v>
      </c>
      <c r="AE11" s="11">
        <v>12</v>
      </c>
      <c r="AF11" s="11">
        <v>12</v>
      </c>
      <c r="AG11" s="11">
        <v>12</v>
      </c>
      <c r="AH11" s="11">
        <v>12</v>
      </c>
      <c r="AI11" s="11">
        <v>12</v>
      </c>
      <c r="AJ11" s="11">
        <v>12</v>
      </c>
      <c r="AK11" s="11">
        <v>12</v>
      </c>
      <c r="AL11" s="11">
        <v>12</v>
      </c>
      <c r="AM11" s="11">
        <v>12</v>
      </c>
      <c r="AN11" s="11">
        <v>12</v>
      </c>
    </row>
    <row r="12" spans="2:40" ht="18.75" x14ac:dyDescent="0.25">
      <c r="B12" s="46"/>
      <c r="C12" s="7" t="s">
        <v>21</v>
      </c>
      <c r="D12" s="7" t="s">
        <v>27</v>
      </c>
      <c r="E12" s="7" t="s">
        <v>43</v>
      </c>
      <c r="F12" s="8" t="s">
        <v>16</v>
      </c>
      <c r="G12" s="27" t="s">
        <v>17</v>
      </c>
      <c r="H12" s="8" t="s">
        <v>13</v>
      </c>
      <c r="I12" s="19">
        <v>93.6</v>
      </c>
      <c r="J12" s="9">
        <f>K12*I12</f>
        <v>97344</v>
      </c>
      <c r="K12" s="8">
        <f>SUM(M12:AN12)</f>
        <v>1040</v>
      </c>
      <c r="M12" s="10">
        <v>40</v>
      </c>
      <c r="N12" s="10">
        <v>40</v>
      </c>
      <c r="P12" s="11">
        <v>40</v>
      </c>
      <c r="Q12" s="11">
        <v>40</v>
      </c>
      <c r="R12" s="11">
        <v>40</v>
      </c>
      <c r="S12" s="11">
        <v>40</v>
      </c>
      <c r="T12" s="11">
        <v>40</v>
      </c>
      <c r="U12" s="11">
        <v>40</v>
      </c>
      <c r="V12" s="11">
        <v>40</v>
      </c>
      <c r="W12" s="11">
        <v>40</v>
      </c>
      <c r="X12" s="11">
        <v>40</v>
      </c>
      <c r="Y12" s="11">
        <v>40</v>
      </c>
      <c r="Z12" s="11">
        <v>40</v>
      </c>
      <c r="AA12" s="11">
        <v>40</v>
      </c>
      <c r="AC12" s="11">
        <v>40</v>
      </c>
      <c r="AD12" s="11">
        <v>40</v>
      </c>
      <c r="AE12" s="11">
        <v>40</v>
      </c>
      <c r="AF12" s="11">
        <v>40</v>
      </c>
      <c r="AG12" s="11">
        <v>40</v>
      </c>
      <c r="AH12" s="11">
        <v>40</v>
      </c>
      <c r="AI12" s="11">
        <v>40</v>
      </c>
      <c r="AJ12" s="11">
        <v>40</v>
      </c>
      <c r="AK12" s="11">
        <v>40</v>
      </c>
      <c r="AL12" s="11">
        <v>40</v>
      </c>
      <c r="AM12" s="11">
        <v>40</v>
      </c>
      <c r="AN12" s="11">
        <v>40</v>
      </c>
    </row>
    <row r="13" spans="2:40" ht="18.75" x14ac:dyDescent="0.25">
      <c r="B13" s="46"/>
      <c r="C13" s="7" t="s">
        <v>21</v>
      </c>
      <c r="D13" s="7" t="s">
        <v>25</v>
      </c>
      <c r="E13" s="7" t="s">
        <v>36</v>
      </c>
      <c r="F13" s="8" t="s">
        <v>11</v>
      </c>
      <c r="G13" s="8" t="s">
        <v>12</v>
      </c>
      <c r="H13" s="8" t="s">
        <v>13</v>
      </c>
      <c r="I13" s="19">
        <v>421.2</v>
      </c>
      <c r="J13" s="9">
        <f>K13*I13</f>
        <v>0</v>
      </c>
      <c r="K13" s="8">
        <f>SUM(M13:AN13)</f>
        <v>0</v>
      </c>
      <c r="M13" s="18"/>
      <c r="N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spans="2:40" ht="18.75" x14ac:dyDescent="0.25">
      <c r="B14" s="46"/>
      <c r="C14" s="7" t="s">
        <v>10</v>
      </c>
      <c r="D14" s="7" t="s">
        <v>25</v>
      </c>
      <c r="E14" s="7" t="s">
        <v>41</v>
      </c>
      <c r="F14" s="8" t="s">
        <v>11</v>
      </c>
      <c r="G14" s="8" t="s">
        <v>12</v>
      </c>
      <c r="H14" s="8" t="s">
        <v>13</v>
      </c>
      <c r="I14" s="19">
        <v>379.6</v>
      </c>
      <c r="J14" s="9"/>
      <c r="K14" s="8">
        <f>SUM(M14:AN14)</f>
        <v>112</v>
      </c>
      <c r="M14" s="10">
        <v>8</v>
      </c>
      <c r="N14" s="10">
        <v>8</v>
      </c>
      <c r="P14" s="11">
        <v>4</v>
      </c>
      <c r="Q14" s="11">
        <v>4</v>
      </c>
      <c r="R14" s="11">
        <v>4</v>
      </c>
      <c r="S14" s="11">
        <v>4</v>
      </c>
      <c r="T14" s="11">
        <v>4</v>
      </c>
      <c r="U14" s="11">
        <v>4</v>
      </c>
      <c r="V14" s="11">
        <v>4</v>
      </c>
      <c r="W14" s="11">
        <v>4</v>
      </c>
      <c r="X14" s="11">
        <v>4</v>
      </c>
      <c r="Y14" s="11">
        <v>4</v>
      </c>
      <c r="Z14" s="11">
        <v>4</v>
      </c>
      <c r="AA14" s="11">
        <v>4</v>
      </c>
      <c r="AC14" s="11">
        <v>4</v>
      </c>
      <c r="AD14" s="11">
        <v>4</v>
      </c>
      <c r="AE14" s="11">
        <v>4</v>
      </c>
      <c r="AF14" s="11">
        <v>4</v>
      </c>
      <c r="AG14" s="11">
        <v>4</v>
      </c>
      <c r="AH14" s="11">
        <v>4</v>
      </c>
      <c r="AI14" s="11">
        <v>4</v>
      </c>
      <c r="AJ14" s="11">
        <v>4</v>
      </c>
      <c r="AK14" s="11">
        <v>4</v>
      </c>
      <c r="AL14" s="11">
        <v>4</v>
      </c>
      <c r="AM14" s="11">
        <v>4</v>
      </c>
      <c r="AN14" s="11">
        <v>4</v>
      </c>
    </row>
    <row r="15" spans="2:40" ht="18.75" x14ac:dyDescent="0.25">
      <c r="B15" s="47" t="s">
        <v>44</v>
      </c>
      <c r="C15" s="47"/>
      <c r="D15" s="47"/>
      <c r="E15" s="47"/>
      <c r="F15" s="47"/>
      <c r="G15" s="47"/>
      <c r="H15" s="47"/>
      <c r="I15" s="47"/>
      <c r="J15" s="13">
        <f>SUM(J11:J14)</f>
        <v>252345.60000000001</v>
      </c>
      <c r="K15" s="14">
        <f>SUM(K11:K14)</f>
        <v>1520</v>
      </c>
      <c r="M15" s="15"/>
      <c r="N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2:40" ht="18.75" x14ac:dyDescent="0.25">
      <c r="B16" s="43"/>
      <c r="C16" s="21"/>
      <c r="D16" s="21"/>
      <c r="E16" s="21"/>
      <c r="F16" s="22"/>
      <c r="G16" s="22"/>
      <c r="H16" s="22"/>
      <c r="I16" s="23"/>
      <c r="J16" s="24"/>
      <c r="K16" s="22"/>
      <c r="L16" s="25"/>
      <c r="M16" s="26"/>
      <c r="N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 spans="2:40" ht="18.75" x14ac:dyDescent="0.25">
      <c r="B17" s="46" t="s">
        <v>51</v>
      </c>
      <c r="C17" s="7" t="s">
        <v>14</v>
      </c>
      <c r="D17" s="7" t="s">
        <v>27</v>
      </c>
      <c r="E17" s="7" t="s">
        <v>66</v>
      </c>
      <c r="F17" s="8" t="s">
        <v>16</v>
      </c>
      <c r="G17" s="27" t="s">
        <v>17</v>
      </c>
      <c r="H17" s="8" t="s">
        <v>13</v>
      </c>
      <c r="I17" s="19">
        <v>93.6</v>
      </c>
      <c r="J17" s="9">
        <f t="shared" ref="J17:J24" si="0">K17*I17</f>
        <v>97344</v>
      </c>
      <c r="K17" s="8">
        <f t="shared" ref="K17:K24" si="1">SUM(M17:AN17)</f>
        <v>1040</v>
      </c>
      <c r="M17" s="10">
        <v>40</v>
      </c>
      <c r="N17" s="10">
        <v>40</v>
      </c>
      <c r="P17" s="11">
        <v>40</v>
      </c>
      <c r="Q17" s="11">
        <v>40</v>
      </c>
      <c r="R17" s="11">
        <v>40</v>
      </c>
      <c r="S17" s="11">
        <v>40</v>
      </c>
      <c r="T17" s="11">
        <v>40</v>
      </c>
      <c r="U17" s="11">
        <v>40</v>
      </c>
      <c r="V17" s="11">
        <v>40</v>
      </c>
      <c r="W17" s="11">
        <v>40</v>
      </c>
      <c r="X17" s="11">
        <v>40</v>
      </c>
      <c r="Y17" s="11">
        <v>40</v>
      </c>
      <c r="Z17" s="11">
        <v>40</v>
      </c>
      <c r="AA17" s="11">
        <v>40</v>
      </c>
      <c r="AC17" s="11">
        <v>40</v>
      </c>
      <c r="AD17" s="11">
        <v>40</v>
      </c>
      <c r="AE17" s="11">
        <v>40</v>
      </c>
      <c r="AF17" s="11">
        <v>40</v>
      </c>
      <c r="AG17" s="11">
        <v>40</v>
      </c>
      <c r="AH17" s="11">
        <v>40</v>
      </c>
      <c r="AI17" s="11">
        <v>40</v>
      </c>
      <c r="AJ17" s="11">
        <v>40</v>
      </c>
      <c r="AK17" s="11">
        <v>40</v>
      </c>
      <c r="AL17" s="11">
        <v>40</v>
      </c>
      <c r="AM17" s="11">
        <v>40</v>
      </c>
      <c r="AN17" s="11">
        <v>40</v>
      </c>
    </row>
    <row r="18" spans="2:40" ht="18.75" x14ac:dyDescent="0.25">
      <c r="B18" s="46"/>
      <c r="C18" s="7" t="s">
        <v>14</v>
      </c>
      <c r="D18" s="7" t="s">
        <v>27</v>
      </c>
      <c r="E18" s="7" t="s">
        <v>48</v>
      </c>
      <c r="F18" s="8" t="s">
        <v>16</v>
      </c>
      <c r="G18" s="27" t="s">
        <v>17</v>
      </c>
      <c r="H18" s="8" t="s">
        <v>13</v>
      </c>
      <c r="I18" s="19">
        <v>93.6</v>
      </c>
      <c r="J18" s="9">
        <f t="shared" si="0"/>
        <v>89856</v>
      </c>
      <c r="K18" s="8">
        <f t="shared" si="1"/>
        <v>960</v>
      </c>
      <c r="M18" s="18"/>
      <c r="N18" s="18"/>
      <c r="P18" s="11">
        <v>40</v>
      </c>
      <c r="Q18" s="11">
        <v>40</v>
      </c>
      <c r="R18" s="11">
        <v>40</v>
      </c>
      <c r="S18" s="11">
        <v>40</v>
      </c>
      <c r="T18" s="11">
        <v>40</v>
      </c>
      <c r="U18" s="11">
        <v>40</v>
      </c>
      <c r="V18" s="11">
        <v>40</v>
      </c>
      <c r="W18" s="11">
        <v>40</v>
      </c>
      <c r="X18" s="11">
        <v>40</v>
      </c>
      <c r="Y18" s="11">
        <v>40</v>
      </c>
      <c r="Z18" s="11">
        <v>40</v>
      </c>
      <c r="AA18" s="11">
        <v>40</v>
      </c>
      <c r="AC18" s="11">
        <v>40</v>
      </c>
      <c r="AD18" s="11">
        <v>40</v>
      </c>
      <c r="AE18" s="11">
        <v>40</v>
      </c>
      <c r="AF18" s="11">
        <v>40</v>
      </c>
      <c r="AG18" s="11">
        <v>40</v>
      </c>
      <c r="AH18" s="11">
        <v>40</v>
      </c>
      <c r="AI18" s="11">
        <v>40</v>
      </c>
      <c r="AJ18" s="11">
        <v>40</v>
      </c>
      <c r="AK18" s="11">
        <v>40</v>
      </c>
      <c r="AL18" s="11">
        <v>40</v>
      </c>
      <c r="AM18" s="11">
        <v>40</v>
      </c>
      <c r="AN18" s="11">
        <v>40</v>
      </c>
    </row>
    <row r="19" spans="2:40" ht="18.75" x14ac:dyDescent="0.25">
      <c r="B19" s="46"/>
      <c r="C19" s="7" t="s">
        <v>14</v>
      </c>
      <c r="D19" s="7" t="s">
        <v>27</v>
      </c>
      <c r="E19" s="7" t="s">
        <v>48</v>
      </c>
      <c r="F19" s="8" t="s">
        <v>16</v>
      </c>
      <c r="G19" s="27" t="s">
        <v>17</v>
      </c>
      <c r="H19" s="8" t="s">
        <v>13</v>
      </c>
      <c r="I19" s="19">
        <v>93.6</v>
      </c>
      <c r="J19" s="9">
        <f t="shared" si="0"/>
        <v>89856</v>
      </c>
      <c r="K19" s="8">
        <f t="shared" si="1"/>
        <v>960</v>
      </c>
      <c r="M19" s="18"/>
      <c r="N19" s="18"/>
      <c r="P19" s="11">
        <v>40</v>
      </c>
      <c r="Q19" s="11">
        <v>40</v>
      </c>
      <c r="R19" s="11">
        <v>40</v>
      </c>
      <c r="S19" s="11">
        <v>40</v>
      </c>
      <c r="T19" s="11">
        <v>40</v>
      </c>
      <c r="U19" s="11">
        <v>40</v>
      </c>
      <c r="V19" s="11">
        <v>40</v>
      </c>
      <c r="W19" s="11">
        <v>40</v>
      </c>
      <c r="X19" s="11">
        <v>40</v>
      </c>
      <c r="Y19" s="11">
        <v>40</v>
      </c>
      <c r="Z19" s="11">
        <v>40</v>
      </c>
      <c r="AA19" s="11">
        <v>40</v>
      </c>
      <c r="AC19" s="11">
        <v>40</v>
      </c>
      <c r="AD19" s="11">
        <v>40</v>
      </c>
      <c r="AE19" s="11">
        <v>40</v>
      </c>
      <c r="AF19" s="11">
        <v>40</v>
      </c>
      <c r="AG19" s="11">
        <v>40</v>
      </c>
      <c r="AH19" s="11">
        <v>40</v>
      </c>
      <c r="AI19" s="11">
        <v>40</v>
      </c>
      <c r="AJ19" s="11">
        <v>40</v>
      </c>
      <c r="AK19" s="11">
        <v>40</v>
      </c>
      <c r="AL19" s="11">
        <v>40</v>
      </c>
      <c r="AM19" s="11">
        <v>40</v>
      </c>
      <c r="AN19" s="11">
        <v>40</v>
      </c>
    </row>
    <row r="20" spans="2:40" ht="18.75" x14ac:dyDescent="0.25">
      <c r="B20" s="46"/>
      <c r="C20" s="7" t="s">
        <v>14</v>
      </c>
      <c r="D20" s="7" t="s">
        <v>27</v>
      </c>
      <c r="E20" s="7" t="s">
        <v>49</v>
      </c>
      <c r="F20" s="8" t="s">
        <v>16</v>
      </c>
      <c r="G20" s="27" t="s">
        <v>17</v>
      </c>
      <c r="H20" s="8" t="s">
        <v>13</v>
      </c>
      <c r="I20" s="19">
        <v>93.6</v>
      </c>
      <c r="J20" s="9">
        <f t="shared" si="0"/>
        <v>89856</v>
      </c>
      <c r="K20" s="8">
        <f t="shared" si="1"/>
        <v>960</v>
      </c>
      <c r="M20" s="18"/>
      <c r="N20" s="18"/>
      <c r="P20" s="11">
        <v>40</v>
      </c>
      <c r="Q20" s="11">
        <v>40</v>
      </c>
      <c r="R20" s="11">
        <v>40</v>
      </c>
      <c r="S20" s="11">
        <v>40</v>
      </c>
      <c r="T20" s="11">
        <v>40</v>
      </c>
      <c r="U20" s="11">
        <v>40</v>
      </c>
      <c r="V20" s="11">
        <v>40</v>
      </c>
      <c r="W20" s="11">
        <v>40</v>
      </c>
      <c r="X20" s="11">
        <v>40</v>
      </c>
      <c r="Y20" s="11">
        <v>40</v>
      </c>
      <c r="Z20" s="11">
        <v>40</v>
      </c>
      <c r="AA20" s="11">
        <v>40</v>
      </c>
      <c r="AC20" s="11">
        <v>40</v>
      </c>
      <c r="AD20" s="11">
        <v>40</v>
      </c>
      <c r="AE20" s="11">
        <v>40</v>
      </c>
      <c r="AF20" s="11">
        <v>40</v>
      </c>
      <c r="AG20" s="11">
        <v>40</v>
      </c>
      <c r="AH20" s="11">
        <v>40</v>
      </c>
      <c r="AI20" s="11">
        <v>40</v>
      </c>
      <c r="AJ20" s="11">
        <v>40</v>
      </c>
      <c r="AK20" s="11">
        <v>40</v>
      </c>
      <c r="AL20" s="11">
        <v>40</v>
      </c>
      <c r="AM20" s="11">
        <v>40</v>
      </c>
      <c r="AN20" s="11">
        <v>40</v>
      </c>
    </row>
    <row r="21" spans="2:40" ht="18.75" x14ac:dyDescent="0.25">
      <c r="B21" s="46"/>
      <c r="C21" s="7" t="s">
        <v>14</v>
      </c>
      <c r="D21" s="7" t="s">
        <v>27</v>
      </c>
      <c r="E21" s="7" t="s">
        <v>50</v>
      </c>
      <c r="F21" s="8" t="s">
        <v>16</v>
      </c>
      <c r="G21" s="27" t="s">
        <v>17</v>
      </c>
      <c r="H21" s="8" t="s">
        <v>13</v>
      </c>
      <c r="I21" s="19">
        <v>93.6</v>
      </c>
      <c r="J21" s="9">
        <f t="shared" si="0"/>
        <v>89856</v>
      </c>
      <c r="K21" s="8">
        <f t="shared" si="1"/>
        <v>960</v>
      </c>
      <c r="M21" s="18"/>
      <c r="N21" s="18"/>
      <c r="P21" s="11">
        <v>40</v>
      </c>
      <c r="Q21" s="11">
        <v>40</v>
      </c>
      <c r="R21" s="11">
        <v>40</v>
      </c>
      <c r="S21" s="11">
        <v>40</v>
      </c>
      <c r="T21" s="11">
        <v>40</v>
      </c>
      <c r="U21" s="11">
        <v>40</v>
      </c>
      <c r="V21" s="11">
        <v>40</v>
      </c>
      <c r="W21" s="11">
        <v>40</v>
      </c>
      <c r="X21" s="11">
        <v>40</v>
      </c>
      <c r="Y21" s="11">
        <v>40</v>
      </c>
      <c r="Z21" s="11">
        <v>40</v>
      </c>
      <c r="AA21" s="11">
        <v>40</v>
      </c>
      <c r="AC21" s="11">
        <v>40</v>
      </c>
      <c r="AD21" s="11">
        <v>40</v>
      </c>
      <c r="AE21" s="11">
        <v>40</v>
      </c>
      <c r="AF21" s="11">
        <v>40</v>
      </c>
      <c r="AG21" s="11">
        <v>40</v>
      </c>
      <c r="AH21" s="11">
        <v>40</v>
      </c>
      <c r="AI21" s="11">
        <v>40</v>
      </c>
      <c r="AJ21" s="11">
        <v>40</v>
      </c>
      <c r="AK21" s="11">
        <v>40</v>
      </c>
      <c r="AL21" s="11">
        <v>40</v>
      </c>
      <c r="AM21" s="11">
        <v>40</v>
      </c>
      <c r="AN21" s="11">
        <v>40</v>
      </c>
    </row>
    <row r="22" spans="2:40" ht="18.75" x14ac:dyDescent="0.25">
      <c r="B22" s="46"/>
      <c r="C22" s="7" t="s">
        <v>14</v>
      </c>
      <c r="D22" s="7" t="s">
        <v>27</v>
      </c>
      <c r="E22" s="7" t="s">
        <v>40</v>
      </c>
      <c r="F22" s="8" t="s">
        <v>16</v>
      </c>
      <c r="G22" s="27" t="s">
        <v>17</v>
      </c>
      <c r="H22" s="8" t="s">
        <v>13</v>
      </c>
      <c r="I22" s="19">
        <v>93.6</v>
      </c>
      <c r="J22" s="9">
        <f t="shared" si="0"/>
        <v>44928</v>
      </c>
      <c r="K22" s="8">
        <f t="shared" si="1"/>
        <v>480</v>
      </c>
      <c r="M22" s="18"/>
      <c r="N22" s="18"/>
      <c r="P22" s="11">
        <v>40</v>
      </c>
      <c r="Q22" s="11">
        <v>40</v>
      </c>
      <c r="R22" s="11">
        <v>40</v>
      </c>
      <c r="S22" s="11">
        <v>40</v>
      </c>
      <c r="T22" s="11">
        <v>40</v>
      </c>
      <c r="U22" s="11">
        <v>40</v>
      </c>
      <c r="V22" s="11">
        <v>40</v>
      </c>
      <c r="W22" s="11">
        <v>40</v>
      </c>
      <c r="X22" s="11">
        <v>40</v>
      </c>
      <c r="Y22" s="11">
        <v>40</v>
      </c>
      <c r="Z22" s="11">
        <v>40</v>
      </c>
      <c r="AA22" s="11">
        <v>40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spans="2:40" ht="18.75" x14ac:dyDescent="0.25">
      <c r="B23" s="46"/>
      <c r="C23" s="7" t="s">
        <v>21</v>
      </c>
      <c r="D23" s="7" t="s">
        <v>27</v>
      </c>
      <c r="E23" s="7" t="s">
        <v>28</v>
      </c>
      <c r="F23" s="8" t="s">
        <v>16</v>
      </c>
      <c r="G23" s="27" t="s">
        <v>17</v>
      </c>
      <c r="H23" s="8" t="s">
        <v>13</v>
      </c>
      <c r="I23" s="19">
        <v>93.6</v>
      </c>
      <c r="J23" s="9">
        <f t="shared" si="0"/>
        <v>17971.199999999997</v>
      </c>
      <c r="K23" s="8">
        <f t="shared" si="1"/>
        <v>192</v>
      </c>
      <c r="M23" s="18"/>
      <c r="N23" s="18"/>
      <c r="P23" s="11">
        <v>8</v>
      </c>
      <c r="Q23" s="11">
        <v>8</v>
      </c>
      <c r="R23" s="11">
        <v>8</v>
      </c>
      <c r="S23" s="11">
        <v>8</v>
      </c>
      <c r="T23" s="11">
        <v>8</v>
      </c>
      <c r="U23" s="11">
        <v>8</v>
      </c>
      <c r="V23" s="11">
        <v>8</v>
      </c>
      <c r="W23" s="11">
        <v>8</v>
      </c>
      <c r="X23" s="11">
        <v>8</v>
      </c>
      <c r="Y23" s="11">
        <v>8</v>
      </c>
      <c r="Z23" s="11">
        <v>8</v>
      </c>
      <c r="AA23" s="11">
        <v>8</v>
      </c>
      <c r="AC23" s="11">
        <v>8</v>
      </c>
      <c r="AD23" s="11">
        <v>8</v>
      </c>
      <c r="AE23" s="11">
        <v>8</v>
      </c>
      <c r="AF23" s="11">
        <v>8</v>
      </c>
      <c r="AG23" s="11">
        <v>8</v>
      </c>
      <c r="AH23" s="11">
        <v>8</v>
      </c>
      <c r="AI23" s="11">
        <v>8</v>
      </c>
      <c r="AJ23" s="11">
        <v>8</v>
      </c>
      <c r="AK23" s="11">
        <v>8</v>
      </c>
      <c r="AL23" s="11">
        <v>8</v>
      </c>
      <c r="AM23" s="11">
        <v>8</v>
      </c>
      <c r="AN23" s="11">
        <v>8</v>
      </c>
    </row>
    <row r="24" spans="2:40" ht="18.75" x14ac:dyDescent="0.25">
      <c r="B24" s="46"/>
      <c r="C24" s="7" t="s">
        <v>14</v>
      </c>
      <c r="D24" s="7" t="s">
        <v>27</v>
      </c>
      <c r="E24" s="7" t="s">
        <v>47</v>
      </c>
      <c r="F24" s="8" t="s">
        <v>16</v>
      </c>
      <c r="G24" s="27" t="s">
        <v>17</v>
      </c>
      <c r="H24" s="8" t="s">
        <v>13</v>
      </c>
      <c r="I24" s="19">
        <v>93.6</v>
      </c>
      <c r="J24" s="9">
        <f t="shared" si="0"/>
        <v>89856</v>
      </c>
      <c r="K24" s="8">
        <f t="shared" si="1"/>
        <v>960</v>
      </c>
      <c r="M24" s="18"/>
      <c r="N24" s="18"/>
      <c r="P24" s="11">
        <v>40</v>
      </c>
      <c r="Q24" s="11">
        <v>40</v>
      </c>
      <c r="R24" s="11">
        <v>40</v>
      </c>
      <c r="S24" s="11">
        <v>40</v>
      </c>
      <c r="T24" s="11">
        <v>40</v>
      </c>
      <c r="U24" s="11">
        <v>40</v>
      </c>
      <c r="V24" s="11">
        <v>40</v>
      </c>
      <c r="W24" s="11">
        <v>40</v>
      </c>
      <c r="X24" s="11">
        <v>40</v>
      </c>
      <c r="Y24" s="11">
        <v>40</v>
      </c>
      <c r="Z24" s="11">
        <v>40</v>
      </c>
      <c r="AA24" s="11">
        <v>40</v>
      </c>
      <c r="AC24" s="11">
        <v>40</v>
      </c>
      <c r="AD24" s="11">
        <v>40</v>
      </c>
      <c r="AE24" s="11">
        <v>40</v>
      </c>
      <c r="AF24" s="11">
        <v>40</v>
      </c>
      <c r="AG24" s="11">
        <v>40</v>
      </c>
      <c r="AH24" s="11">
        <v>40</v>
      </c>
      <c r="AI24" s="11">
        <v>40</v>
      </c>
      <c r="AJ24" s="11">
        <v>40</v>
      </c>
      <c r="AK24" s="11">
        <v>40</v>
      </c>
      <c r="AL24" s="11">
        <v>40</v>
      </c>
      <c r="AM24" s="11">
        <v>40</v>
      </c>
      <c r="AN24" s="11">
        <v>40</v>
      </c>
    </row>
    <row r="25" spans="2:40" ht="18.75" x14ac:dyDescent="0.25">
      <c r="B25" s="47" t="s">
        <v>51</v>
      </c>
      <c r="C25" s="47"/>
      <c r="D25" s="47"/>
      <c r="E25" s="47"/>
      <c r="F25" s="47"/>
      <c r="G25" s="47"/>
      <c r="H25" s="47"/>
      <c r="I25" s="47"/>
      <c r="J25" s="13">
        <f>SUM(J17:J24)</f>
        <v>609523.19999999995</v>
      </c>
      <c r="K25" s="14">
        <f>SUM(K17:K24)</f>
        <v>6512</v>
      </c>
      <c r="M25" s="15"/>
      <c r="N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2:40" ht="18.75" x14ac:dyDescent="0.25">
      <c r="B26" s="30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2:40" ht="18.75" x14ac:dyDescent="0.25">
      <c r="B27" s="46" t="s">
        <v>29</v>
      </c>
      <c r="C27" s="7" t="s">
        <v>14</v>
      </c>
      <c r="D27" s="7" t="s">
        <v>27</v>
      </c>
      <c r="E27" s="7" t="s">
        <v>52</v>
      </c>
      <c r="F27" s="8" t="s">
        <v>16</v>
      </c>
      <c r="G27" s="27" t="s">
        <v>17</v>
      </c>
      <c r="H27" s="8" t="s">
        <v>13</v>
      </c>
      <c r="I27" s="19">
        <v>93.6</v>
      </c>
      <c r="J27" s="9">
        <f>K27*I27</f>
        <v>29203.199999999997</v>
      </c>
      <c r="K27" s="8">
        <f>SUM(M27:AN27)</f>
        <v>312</v>
      </c>
      <c r="M27" s="10">
        <v>12</v>
      </c>
      <c r="N27" s="10">
        <v>12</v>
      </c>
      <c r="P27" s="11">
        <v>12</v>
      </c>
      <c r="Q27" s="11">
        <v>12</v>
      </c>
      <c r="R27" s="11">
        <v>12</v>
      </c>
      <c r="S27" s="11">
        <v>12</v>
      </c>
      <c r="T27" s="11">
        <v>12</v>
      </c>
      <c r="U27" s="11">
        <v>12</v>
      </c>
      <c r="V27" s="11">
        <v>12</v>
      </c>
      <c r="W27" s="11">
        <v>12</v>
      </c>
      <c r="X27" s="11">
        <v>12</v>
      </c>
      <c r="Y27" s="11">
        <v>12</v>
      </c>
      <c r="Z27" s="11">
        <v>12</v>
      </c>
      <c r="AA27" s="11">
        <v>12</v>
      </c>
      <c r="AC27" s="11">
        <v>12</v>
      </c>
      <c r="AD27" s="11">
        <v>12</v>
      </c>
      <c r="AE27" s="11">
        <v>12</v>
      </c>
      <c r="AF27" s="11">
        <v>12</v>
      </c>
      <c r="AG27" s="11">
        <v>12</v>
      </c>
      <c r="AH27" s="11">
        <v>12</v>
      </c>
      <c r="AI27" s="11">
        <v>12</v>
      </c>
      <c r="AJ27" s="11">
        <v>12</v>
      </c>
      <c r="AK27" s="11">
        <v>12</v>
      </c>
      <c r="AL27" s="11">
        <v>12</v>
      </c>
      <c r="AM27" s="11">
        <v>12</v>
      </c>
      <c r="AN27" s="11">
        <v>12</v>
      </c>
    </row>
    <row r="28" spans="2:40" ht="18.75" x14ac:dyDescent="0.25">
      <c r="B28" s="46"/>
      <c r="C28" s="7" t="s">
        <v>14</v>
      </c>
      <c r="D28" s="7" t="s">
        <v>27</v>
      </c>
      <c r="E28" s="7" t="s">
        <v>30</v>
      </c>
      <c r="F28" s="8" t="s">
        <v>16</v>
      </c>
      <c r="G28" s="27" t="s">
        <v>17</v>
      </c>
      <c r="H28" s="8" t="s">
        <v>13</v>
      </c>
      <c r="I28" s="19">
        <v>93.6</v>
      </c>
      <c r="J28" s="9">
        <f>K28*I28</f>
        <v>26956.799999999999</v>
      </c>
      <c r="K28" s="8">
        <f>SUM(M28:AN28)</f>
        <v>288</v>
      </c>
      <c r="M28" s="18"/>
      <c r="N28" s="18"/>
      <c r="P28" s="11">
        <v>12</v>
      </c>
      <c r="Q28" s="11">
        <v>12</v>
      </c>
      <c r="R28" s="11">
        <v>12</v>
      </c>
      <c r="S28" s="11">
        <v>12</v>
      </c>
      <c r="T28" s="11">
        <v>12</v>
      </c>
      <c r="U28" s="11">
        <v>12</v>
      </c>
      <c r="V28" s="11">
        <v>12</v>
      </c>
      <c r="W28" s="11">
        <v>12</v>
      </c>
      <c r="X28" s="11">
        <v>12</v>
      </c>
      <c r="Y28" s="11">
        <v>12</v>
      </c>
      <c r="Z28" s="11">
        <v>12</v>
      </c>
      <c r="AA28" s="11">
        <v>12</v>
      </c>
      <c r="AC28" s="11">
        <v>12</v>
      </c>
      <c r="AD28" s="11">
        <v>12</v>
      </c>
      <c r="AE28" s="11">
        <v>12</v>
      </c>
      <c r="AF28" s="11">
        <v>12</v>
      </c>
      <c r="AG28" s="11">
        <v>12</v>
      </c>
      <c r="AH28" s="11">
        <v>12</v>
      </c>
      <c r="AI28" s="11">
        <v>12</v>
      </c>
      <c r="AJ28" s="11">
        <v>12</v>
      </c>
      <c r="AK28" s="11">
        <v>12</v>
      </c>
      <c r="AL28" s="11">
        <v>12</v>
      </c>
      <c r="AM28" s="11">
        <v>12</v>
      </c>
      <c r="AN28" s="11">
        <v>12</v>
      </c>
    </row>
    <row r="29" spans="2:40" ht="18.75" x14ac:dyDescent="0.25">
      <c r="B29" s="47" t="s">
        <v>29</v>
      </c>
      <c r="C29" s="47"/>
      <c r="D29" s="47"/>
      <c r="E29" s="47"/>
      <c r="F29" s="47"/>
      <c r="G29" s="47"/>
      <c r="H29" s="47"/>
      <c r="I29" s="47"/>
      <c r="J29" s="13">
        <f>SUM(J27:J28)</f>
        <v>56160</v>
      </c>
      <c r="K29" s="14">
        <f>SUM(K27:K28)</f>
        <v>600</v>
      </c>
      <c r="M29" s="15"/>
      <c r="N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2:40" ht="18.75" x14ac:dyDescent="0.25">
      <c r="B30" s="30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2:40" ht="18.75" x14ac:dyDescent="0.25">
      <c r="B31" s="46" t="s">
        <v>31</v>
      </c>
      <c r="C31" s="20" t="s">
        <v>18</v>
      </c>
      <c r="D31" s="7" t="s">
        <v>25</v>
      </c>
      <c r="E31" s="7" t="s">
        <v>19</v>
      </c>
      <c r="F31" s="8" t="s">
        <v>11</v>
      </c>
      <c r="G31" s="8" t="s">
        <v>12</v>
      </c>
      <c r="H31" s="8" t="s">
        <v>13</v>
      </c>
      <c r="I31" s="19">
        <v>478.4</v>
      </c>
      <c r="J31" s="9">
        <f>K31*I31</f>
        <v>49753.599999999999</v>
      </c>
      <c r="K31" s="8">
        <f>SUM(M31:AN31)</f>
        <v>104</v>
      </c>
      <c r="M31" s="10">
        <v>4</v>
      </c>
      <c r="N31" s="10">
        <v>4</v>
      </c>
      <c r="P31" s="11">
        <v>4</v>
      </c>
      <c r="Q31" s="11">
        <v>4</v>
      </c>
      <c r="R31" s="11">
        <v>4</v>
      </c>
      <c r="S31" s="11">
        <v>4</v>
      </c>
      <c r="T31" s="11">
        <v>4</v>
      </c>
      <c r="U31" s="11">
        <v>4</v>
      </c>
      <c r="V31" s="11">
        <v>4</v>
      </c>
      <c r="W31" s="11">
        <v>4</v>
      </c>
      <c r="X31" s="11">
        <v>4</v>
      </c>
      <c r="Y31" s="11">
        <v>4</v>
      </c>
      <c r="Z31" s="11">
        <v>4</v>
      </c>
      <c r="AA31" s="11">
        <v>4</v>
      </c>
      <c r="AC31" s="11">
        <v>4</v>
      </c>
      <c r="AD31" s="11">
        <v>4</v>
      </c>
      <c r="AE31" s="11">
        <v>4</v>
      </c>
      <c r="AF31" s="11">
        <v>4</v>
      </c>
      <c r="AG31" s="11">
        <v>4</v>
      </c>
      <c r="AH31" s="11">
        <v>4</v>
      </c>
      <c r="AI31" s="11">
        <v>4</v>
      </c>
      <c r="AJ31" s="11">
        <v>4</v>
      </c>
      <c r="AK31" s="11">
        <v>4</v>
      </c>
      <c r="AL31" s="11">
        <v>4</v>
      </c>
      <c r="AM31" s="11">
        <v>4</v>
      </c>
      <c r="AN31" s="11">
        <v>4</v>
      </c>
    </row>
    <row r="32" spans="2:40" ht="18.75" x14ac:dyDescent="0.25">
      <c r="B32" s="46"/>
      <c r="C32" s="7" t="s">
        <v>32</v>
      </c>
      <c r="D32" s="7" t="s">
        <v>25</v>
      </c>
      <c r="E32" s="7" t="s">
        <v>20</v>
      </c>
      <c r="F32" s="8" t="s">
        <v>11</v>
      </c>
      <c r="G32" s="8" t="s">
        <v>12</v>
      </c>
      <c r="H32" s="8" t="s">
        <v>13</v>
      </c>
      <c r="I32" s="19">
        <v>384.8</v>
      </c>
      <c r="J32" s="9">
        <f>K32*I32</f>
        <v>400192</v>
      </c>
      <c r="K32" s="8">
        <f>SUM(M32:AN32)</f>
        <v>1040</v>
      </c>
      <c r="M32" s="10">
        <v>40</v>
      </c>
      <c r="N32" s="10">
        <v>40</v>
      </c>
      <c r="P32" s="11">
        <v>40</v>
      </c>
      <c r="Q32" s="11">
        <v>40</v>
      </c>
      <c r="R32" s="11">
        <v>40</v>
      </c>
      <c r="S32" s="11">
        <v>40</v>
      </c>
      <c r="T32" s="11">
        <v>40</v>
      </c>
      <c r="U32" s="11">
        <v>40</v>
      </c>
      <c r="V32" s="11">
        <v>40</v>
      </c>
      <c r="W32" s="11">
        <v>40</v>
      </c>
      <c r="X32" s="11">
        <v>40</v>
      </c>
      <c r="Y32" s="11">
        <v>40</v>
      </c>
      <c r="Z32" s="11">
        <v>40</v>
      </c>
      <c r="AA32" s="11">
        <v>40</v>
      </c>
      <c r="AC32" s="11">
        <v>40</v>
      </c>
      <c r="AD32" s="11">
        <v>40</v>
      </c>
      <c r="AE32" s="11">
        <v>40</v>
      </c>
      <c r="AF32" s="11">
        <v>40</v>
      </c>
      <c r="AG32" s="11">
        <v>40</v>
      </c>
      <c r="AH32" s="11">
        <v>40</v>
      </c>
      <c r="AI32" s="11">
        <v>40</v>
      </c>
      <c r="AJ32" s="11">
        <v>40</v>
      </c>
      <c r="AK32" s="11">
        <v>40</v>
      </c>
      <c r="AL32" s="11">
        <v>40</v>
      </c>
      <c r="AM32" s="11">
        <v>40</v>
      </c>
      <c r="AN32" s="11">
        <v>40</v>
      </c>
    </row>
    <row r="33" spans="1:40" ht="18.75" x14ac:dyDescent="0.25">
      <c r="B33" s="46"/>
      <c r="C33" s="7" t="s">
        <v>33</v>
      </c>
      <c r="D33" s="7" t="s">
        <v>27</v>
      </c>
      <c r="E33" s="7" t="s">
        <v>34</v>
      </c>
      <c r="F33" s="8" t="s">
        <v>16</v>
      </c>
      <c r="G33" s="27" t="s">
        <v>17</v>
      </c>
      <c r="H33" s="8" t="s">
        <v>13</v>
      </c>
      <c r="I33" s="19">
        <v>93.6</v>
      </c>
      <c r="J33" s="9">
        <f>K33*I33</f>
        <v>97344</v>
      </c>
      <c r="K33" s="8">
        <f>SUM(M33:AN33)</f>
        <v>1040</v>
      </c>
      <c r="M33" s="10">
        <v>40</v>
      </c>
      <c r="N33" s="10">
        <v>40</v>
      </c>
      <c r="P33" s="11">
        <v>40</v>
      </c>
      <c r="Q33" s="11">
        <v>40</v>
      </c>
      <c r="R33" s="11">
        <v>40</v>
      </c>
      <c r="S33" s="11">
        <v>40</v>
      </c>
      <c r="T33" s="11">
        <v>40</v>
      </c>
      <c r="U33" s="11">
        <v>40</v>
      </c>
      <c r="V33" s="11">
        <v>40</v>
      </c>
      <c r="W33" s="11">
        <v>40</v>
      </c>
      <c r="X33" s="11">
        <v>40</v>
      </c>
      <c r="Y33" s="11">
        <v>40</v>
      </c>
      <c r="Z33" s="11">
        <v>40</v>
      </c>
      <c r="AA33" s="11">
        <v>40</v>
      </c>
      <c r="AC33" s="11">
        <v>40</v>
      </c>
      <c r="AD33" s="11">
        <v>40</v>
      </c>
      <c r="AE33" s="11">
        <v>40</v>
      </c>
      <c r="AF33" s="11">
        <v>40</v>
      </c>
      <c r="AG33" s="11">
        <v>40</v>
      </c>
      <c r="AH33" s="11">
        <v>40</v>
      </c>
      <c r="AI33" s="11">
        <v>40</v>
      </c>
      <c r="AJ33" s="11">
        <v>40</v>
      </c>
      <c r="AK33" s="11">
        <v>40</v>
      </c>
      <c r="AL33" s="11">
        <v>40</v>
      </c>
      <c r="AM33" s="11">
        <v>40</v>
      </c>
      <c r="AN33" s="11">
        <v>40</v>
      </c>
    </row>
    <row r="34" spans="1:40" ht="18.75" x14ac:dyDescent="0.25">
      <c r="B34" s="47" t="s">
        <v>31</v>
      </c>
      <c r="C34" s="47"/>
      <c r="D34" s="47"/>
      <c r="E34" s="47"/>
      <c r="F34" s="47"/>
      <c r="G34" s="47"/>
      <c r="H34" s="47"/>
      <c r="I34" s="47"/>
      <c r="J34" s="13">
        <f>SUM(J31:J33)</f>
        <v>547289.59999999998</v>
      </c>
      <c r="K34" s="14">
        <f>SUM(K31:K33)</f>
        <v>2184</v>
      </c>
      <c r="M34" s="15"/>
      <c r="N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ht="18.75" x14ac:dyDescent="0.25">
      <c r="A35" s="31"/>
      <c r="B35" s="31"/>
      <c r="C35" s="31"/>
      <c r="D35" s="31"/>
      <c r="E35" s="31"/>
      <c r="F35" s="31"/>
      <c r="G35" s="31"/>
      <c r="H35" s="31"/>
      <c r="I35" s="36"/>
      <c r="J35" s="34"/>
      <c r="L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B35" s="15"/>
      <c r="AC35" s="15"/>
      <c r="AD35" s="15"/>
      <c r="AE35" s="15"/>
      <c r="AF35" s="15"/>
      <c r="AG35" s="15"/>
      <c r="AI35" s="15"/>
      <c r="AJ35" s="15"/>
      <c r="AK35" s="15"/>
      <c r="AL35" s="15"/>
      <c r="AM35" s="15"/>
    </row>
    <row r="36" spans="1:40" ht="18.75" x14ac:dyDescent="0.25">
      <c r="B36" s="46" t="s">
        <v>37</v>
      </c>
      <c r="C36" s="7" t="s">
        <v>14</v>
      </c>
      <c r="D36" s="7" t="s">
        <v>27</v>
      </c>
      <c r="E36" s="7" t="s">
        <v>38</v>
      </c>
      <c r="F36" s="8" t="s">
        <v>11</v>
      </c>
      <c r="G36" s="27" t="s">
        <v>17</v>
      </c>
      <c r="H36" s="8" t="s">
        <v>13</v>
      </c>
      <c r="I36" s="19">
        <v>93.6</v>
      </c>
      <c r="J36" s="9">
        <f>K36*I36</f>
        <v>9360</v>
      </c>
      <c r="K36" s="8">
        <f>SUM(M36:AN36)</f>
        <v>100</v>
      </c>
      <c r="M36" s="18"/>
      <c r="N36" s="18"/>
      <c r="P36" s="11">
        <v>4</v>
      </c>
      <c r="Q36" s="11">
        <v>4</v>
      </c>
      <c r="R36" s="11">
        <v>4</v>
      </c>
      <c r="S36" s="11">
        <v>4</v>
      </c>
      <c r="T36" s="11">
        <v>4</v>
      </c>
      <c r="U36" s="11">
        <v>4</v>
      </c>
      <c r="V36" s="11">
        <v>4</v>
      </c>
      <c r="W36" s="11">
        <v>4</v>
      </c>
      <c r="X36" s="11">
        <v>4</v>
      </c>
      <c r="Y36" s="11">
        <v>4</v>
      </c>
      <c r="Z36" s="11">
        <v>4</v>
      </c>
      <c r="AA36" s="11">
        <v>4</v>
      </c>
      <c r="AB36" s="11">
        <v>4</v>
      </c>
      <c r="AC36" s="11">
        <v>4</v>
      </c>
      <c r="AD36" s="11">
        <v>4</v>
      </c>
      <c r="AE36" s="11">
        <v>4</v>
      </c>
      <c r="AF36" s="11">
        <v>4</v>
      </c>
      <c r="AG36" s="11">
        <v>4</v>
      </c>
      <c r="AH36" s="11">
        <v>4</v>
      </c>
      <c r="AI36" s="11">
        <v>4</v>
      </c>
      <c r="AJ36" s="11">
        <v>4</v>
      </c>
      <c r="AK36" s="11">
        <v>4</v>
      </c>
      <c r="AL36" s="11">
        <v>4</v>
      </c>
      <c r="AM36" s="11">
        <v>4</v>
      </c>
      <c r="AN36" s="11">
        <v>4</v>
      </c>
    </row>
    <row r="37" spans="1:40" ht="18.75" x14ac:dyDescent="0.25">
      <c r="B37" s="46"/>
      <c r="C37" s="7" t="s">
        <v>21</v>
      </c>
      <c r="D37" s="7" t="s">
        <v>69</v>
      </c>
      <c r="E37" s="7" t="s">
        <v>21</v>
      </c>
      <c r="F37" s="8" t="s">
        <v>11</v>
      </c>
      <c r="G37" s="8" t="s">
        <v>12</v>
      </c>
      <c r="H37" s="8" t="s">
        <v>13</v>
      </c>
      <c r="I37" s="19">
        <v>421.2</v>
      </c>
      <c r="J37" s="9">
        <f>K37*I37</f>
        <v>48859.199999999997</v>
      </c>
      <c r="K37" s="8">
        <f>SUM(M37:AN37)</f>
        <v>116</v>
      </c>
      <c r="M37" s="10">
        <v>8</v>
      </c>
      <c r="N37" s="10">
        <v>8</v>
      </c>
      <c r="P37" s="11">
        <v>4</v>
      </c>
      <c r="Q37" s="11">
        <v>4</v>
      </c>
      <c r="R37" s="11">
        <v>4</v>
      </c>
      <c r="S37" s="11">
        <v>4</v>
      </c>
      <c r="T37" s="11">
        <v>4</v>
      </c>
      <c r="U37" s="11">
        <v>4</v>
      </c>
      <c r="V37" s="11">
        <v>4</v>
      </c>
      <c r="W37" s="11">
        <v>4</v>
      </c>
      <c r="X37" s="11">
        <v>4</v>
      </c>
      <c r="Y37" s="11">
        <v>4</v>
      </c>
      <c r="Z37" s="11">
        <v>4</v>
      </c>
      <c r="AA37" s="11">
        <v>4</v>
      </c>
      <c r="AB37" s="11">
        <v>4</v>
      </c>
      <c r="AC37" s="11">
        <v>4</v>
      </c>
      <c r="AD37" s="11">
        <v>4</v>
      </c>
      <c r="AE37" s="11">
        <v>4</v>
      </c>
      <c r="AF37" s="11">
        <v>4</v>
      </c>
      <c r="AG37" s="11">
        <v>4</v>
      </c>
      <c r="AH37" s="11">
        <v>4</v>
      </c>
      <c r="AI37" s="11">
        <v>4</v>
      </c>
      <c r="AJ37" s="11">
        <v>4</v>
      </c>
      <c r="AK37" s="11">
        <v>4</v>
      </c>
      <c r="AL37" s="11">
        <v>4</v>
      </c>
      <c r="AM37" s="11">
        <v>4</v>
      </c>
      <c r="AN37" s="11">
        <v>4</v>
      </c>
    </row>
    <row r="38" spans="1:40" ht="18.75" x14ac:dyDescent="0.25">
      <c r="B38" s="47" t="s">
        <v>37</v>
      </c>
      <c r="C38" s="47"/>
      <c r="D38" s="47"/>
      <c r="E38" s="47"/>
      <c r="F38" s="47"/>
      <c r="G38" s="47"/>
      <c r="H38" s="47"/>
      <c r="I38" s="47"/>
      <c r="J38" s="13">
        <f>SUM(J36:J37)</f>
        <v>58219.199999999997</v>
      </c>
      <c r="K38" s="14">
        <f>SUM(K36:K37)</f>
        <v>216</v>
      </c>
      <c r="M38" s="16"/>
      <c r="N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spans="1:40" ht="18.75" x14ac:dyDescent="0.25">
      <c r="A39" s="31"/>
      <c r="B39" s="31"/>
      <c r="C39" s="31"/>
      <c r="D39" s="31"/>
      <c r="E39" s="31"/>
      <c r="F39" s="31"/>
      <c r="G39" s="31"/>
      <c r="H39" s="31"/>
      <c r="I39" s="36"/>
      <c r="J39" s="34"/>
      <c r="L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B39" s="15"/>
      <c r="AC39" s="15"/>
      <c r="AD39" s="15"/>
      <c r="AE39" s="15"/>
      <c r="AF39" s="15"/>
      <c r="AG39" s="15"/>
      <c r="AI39" s="15"/>
      <c r="AJ39" s="15"/>
      <c r="AK39" s="15"/>
      <c r="AL39" s="15"/>
      <c r="AM39" s="15"/>
    </row>
    <row r="40" spans="1:40" ht="18.75" x14ac:dyDescent="0.25">
      <c r="B40" s="46" t="s">
        <v>55</v>
      </c>
      <c r="C40" s="7" t="s">
        <v>61</v>
      </c>
      <c r="D40" s="7" t="s">
        <v>57</v>
      </c>
      <c r="E40" s="7" t="s">
        <v>56</v>
      </c>
      <c r="F40" s="8" t="s">
        <v>11</v>
      </c>
      <c r="G40" s="8" t="s">
        <v>12</v>
      </c>
      <c r="H40" s="8" t="s">
        <v>13</v>
      </c>
      <c r="I40" s="19">
        <v>509.6</v>
      </c>
      <c r="J40" s="9">
        <f>K40*I40</f>
        <v>108035.20000000001</v>
      </c>
      <c r="K40" s="8">
        <f>SUM(M40:AN40)</f>
        <v>212</v>
      </c>
      <c r="M40" s="10">
        <v>10</v>
      </c>
      <c r="N40" s="10">
        <v>10</v>
      </c>
      <c r="P40" s="11">
        <v>8</v>
      </c>
      <c r="Q40" s="11">
        <v>8</v>
      </c>
      <c r="R40" s="11">
        <v>8</v>
      </c>
      <c r="S40" s="11">
        <v>8</v>
      </c>
      <c r="T40" s="11">
        <v>8</v>
      </c>
      <c r="U40" s="11">
        <v>8</v>
      </c>
      <c r="V40" s="11">
        <v>8</v>
      </c>
      <c r="W40" s="11">
        <v>8</v>
      </c>
      <c r="X40" s="11">
        <v>8</v>
      </c>
      <c r="Y40" s="11">
        <v>8</v>
      </c>
      <c r="Z40" s="11">
        <v>8</v>
      </c>
      <c r="AA40" s="11">
        <v>8</v>
      </c>
      <c r="AC40" s="11">
        <v>8</v>
      </c>
      <c r="AD40" s="11">
        <v>8</v>
      </c>
      <c r="AE40" s="11">
        <v>8</v>
      </c>
      <c r="AF40" s="11">
        <v>8</v>
      </c>
      <c r="AG40" s="11">
        <v>8</v>
      </c>
      <c r="AH40" s="11">
        <v>8</v>
      </c>
      <c r="AI40" s="11">
        <v>8</v>
      </c>
      <c r="AJ40" s="11">
        <v>8</v>
      </c>
      <c r="AK40" s="11">
        <v>8</v>
      </c>
      <c r="AL40" s="11">
        <v>8</v>
      </c>
      <c r="AM40" s="11">
        <v>8</v>
      </c>
      <c r="AN40" s="11">
        <v>8</v>
      </c>
    </row>
    <row r="41" spans="1:40" ht="18.75" x14ac:dyDescent="0.25">
      <c r="B41" s="46"/>
      <c r="C41" s="7" t="s">
        <v>59</v>
      </c>
      <c r="D41" s="7" t="s">
        <v>57</v>
      </c>
      <c r="E41" s="7" t="s">
        <v>60</v>
      </c>
      <c r="F41" s="8" t="s">
        <v>11</v>
      </c>
      <c r="G41" s="8" t="s">
        <v>12</v>
      </c>
      <c r="H41" s="8" t="s">
        <v>13</v>
      </c>
      <c r="I41" s="19">
        <v>379.6</v>
      </c>
      <c r="J41" s="9">
        <f>K41*I41</f>
        <v>212576</v>
      </c>
      <c r="K41" s="8">
        <f>SUM(M41:AN41)</f>
        <v>560</v>
      </c>
      <c r="M41" s="10">
        <v>40</v>
      </c>
      <c r="N41" s="10">
        <v>40</v>
      </c>
      <c r="P41" s="11">
        <v>20</v>
      </c>
      <c r="Q41" s="11">
        <v>20</v>
      </c>
      <c r="R41" s="11">
        <v>20</v>
      </c>
      <c r="S41" s="11">
        <v>20</v>
      </c>
      <c r="T41" s="11">
        <v>20</v>
      </c>
      <c r="U41" s="11">
        <v>20</v>
      </c>
      <c r="V41" s="11">
        <v>20</v>
      </c>
      <c r="W41" s="11">
        <v>20</v>
      </c>
      <c r="X41" s="11">
        <v>20</v>
      </c>
      <c r="Y41" s="11">
        <v>20</v>
      </c>
      <c r="Z41" s="11">
        <v>20</v>
      </c>
      <c r="AA41" s="11">
        <v>20</v>
      </c>
      <c r="AC41" s="11">
        <v>20</v>
      </c>
      <c r="AD41" s="11">
        <v>20</v>
      </c>
      <c r="AE41" s="11">
        <v>20</v>
      </c>
      <c r="AF41" s="11">
        <v>20</v>
      </c>
      <c r="AG41" s="11">
        <v>20</v>
      </c>
      <c r="AH41" s="11">
        <v>20</v>
      </c>
      <c r="AI41" s="11">
        <v>20</v>
      </c>
      <c r="AJ41" s="11">
        <v>20</v>
      </c>
      <c r="AK41" s="11">
        <v>20</v>
      </c>
      <c r="AL41" s="11">
        <v>20</v>
      </c>
      <c r="AM41" s="11">
        <v>20</v>
      </c>
      <c r="AN41" s="11">
        <v>20</v>
      </c>
    </row>
    <row r="42" spans="1:40" ht="18.75" x14ac:dyDescent="0.25">
      <c r="B42" s="46"/>
      <c r="C42" s="7" t="s">
        <v>14</v>
      </c>
      <c r="D42" s="7" t="s">
        <v>57</v>
      </c>
      <c r="E42" s="7" t="s">
        <v>58</v>
      </c>
      <c r="F42" s="8" t="s">
        <v>11</v>
      </c>
      <c r="G42" s="8" t="s">
        <v>12</v>
      </c>
      <c r="H42" s="8" t="s">
        <v>13</v>
      </c>
      <c r="I42" s="19">
        <v>312</v>
      </c>
      <c r="J42" s="9">
        <f>K42*I42</f>
        <v>149760</v>
      </c>
      <c r="K42" s="8">
        <f>SUM(M42:AN42)</f>
        <v>480</v>
      </c>
      <c r="M42" s="18"/>
      <c r="N42" s="18"/>
      <c r="P42" s="11">
        <v>20</v>
      </c>
      <c r="Q42" s="11">
        <v>20</v>
      </c>
      <c r="R42" s="11">
        <v>20</v>
      </c>
      <c r="S42" s="11">
        <v>20</v>
      </c>
      <c r="T42" s="11">
        <v>20</v>
      </c>
      <c r="U42" s="11">
        <v>20</v>
      </c>
      <c r="V42" s="11">
        <v>20</v>
      </c>
      <c r="W42" s="11">
        <v>20</v>
      </c>
      <c r="X42" s="11">
        <v>20</v>
      </c>
      <c r="Y42" s="11">
        <v>20</v>
      </c>
      <c r="Z42" s="11">
        <v>20</v>
      </c>
      <c r="AA42" s="11">
        <v>20</v>
      </c>
      <c r="AC42" s="11">
        <v>20</v>
      </c>
      <c r="AD42" s="11">
        <v>20</v>
      </c>
      <c r="AE42" s="11">
        <v>20</v>
      </c>
      <c r="AF42" s="11">
        <v>20</v>
      </c>
      <c r="AG42" s="11">
        <v>20</v>
      </c>
      <c r="AH42" s="11">
        <v>20</v>
      </c>
      <c r="AI42" s="11">
        <v>20</v>
      </c>
      <c r="AJ42" s="11">
        <v>20</v>
      </c>
      <c r="AK42" s="11">
        <v>20</v>
      </c>
      <c r="AL42" s="11">
        <v>20</v>
      </c>
      <c r="AM42" s="11">
        <v>20</v>
      </c>
      <c r="AN42" s="11">
        <v>20</v>
      </c>
    </row>
    <row r="43" spans="1:40" ht="18.75" x14ac:dyDescent="0.25">
      <c r="B43" s="47" t="s">
        <v>55</v>
      </c>
      <c r="C43" s="47"/>
      <c r="D43" s="47"/>
      <c r="E43" s="47"/>
      <c r="F43" s="47"/>
      <c r="G43" s="47"/>
      <c r="H43" s="47"/>
      <c r="I43" s="47"/>
      <c r="J43" s="13">
        <f>SUM(J40:J42)</f>
        <v>470371.2</v>
      </c>
      <c r="K43" s="14">
        <f>SUM(K40:K42)</f>
        <v>1252</v>
      </c>
      <c r="M43" s="16"/>
      <c r="N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spans="1:40" ht="18.75" x14ac:dyDescent="0.25">
      <c r="A44" s="31"/>
      <c r="B44" s="44"/>
      <c r="C44" s="31"/>
      <c r="D44" s="31"/>
      <c r="E44" s="31"/>
      <c r="F44" s="31"/>
      <c r="G44" s="31"/>
      <c r="H44" s="31"/>
      <c r="I44" s="36"/>
      <c r="J44" s="34"/>
      <c r="L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B44" s="15"/>
      <c r="AC44" s="15"/>
      <c r="AD44" s="15"/>
      <c r="AE44" s="15"/>
      <c r="AF44" s="15"/>
      <c r="AG44" s="15"/>
      <c r="AI44" s="15"/>
      <c r="AJ44" s="15"/>
      <c r="AK44" s="15"/>
      <c r="AL44" s="15"/>
      <c r="AM44" s="15"/>
    </row>
    <row r="45" spans="1:40" ht="18.75" x14ac:dyDescent="0.25">
      <c r="B45" s="46" t="s">
        <v>62</v>
      </c>
      <c r="C45" s="7" t="s">
        <v>39</v>
      </c>
      <c r="D45" s="7" t="s">
        <v>26</v>
      </c>
      <c r="E45" s="7" t="s">
        <v>64</v>
      </c>
      <c r="F45" s="8" t="s">
        <v>11</v>
      </c>
      <c r="G45" s="8" t="s">
        <v>12</v>
      </c>
      <c r="H45" s="8" t="s">
        <v>13</v>
      </c>
      <c r="I45" s="19">
        <v>460.58</v>
      </c>
      <c r="J45" s="9">
        <f>K45*I45</f>
        <v>119750.8</v>
      </c>
      <c r="K45" s="8">
        <f>SUM(M45:AN45)</f>
        <v>260</v>
      </c>
      <c r="M45" s="10">
        <v>10</v>
      </c>
      <c r="N45" s="10">
        <v>10</v>
      </c>
      <c r="P45" s="11">
        <v>20</v>
      </c>
      <c r="Q45" s="11">
        <v>20</v>
      </c>
      <c r="R45" s="11">
        <v>20</v>
      </c>
      <c r="S45" s="11">
        <v>20</v>
      </c>
      <c r="T45" s="11">
        <v>20</v>
      </c>
      <c r="U45" s="11">
        <v>20</v>
      </c>
      <c r="V45" s="11">
        <v>20</v>
      </c>
      <c r="W45" s="11">
        <v>20</v>
      </c>
      <c r="X45" s="11">
        <v>20</v>
      </c>
      <c r="Y45" s="11">
        <v>20</v>
      </c>
      <c r="Z45" s="11">
        <v>20</v>
      </c>
      <c r="AA45" s="11">
        <v>20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40" ht="18.75" x14ac:dyDescent="0.25">
      <c r="B46" s="46"/>
      <c r="C46" s="7" t="s">
        <v>39</v>
      </c>
      <c r="D46" s="7" t="s">
        <v>26</v>
      </c>
      <c r="E46" s="7" t="s">
        <v>65</v>
      </c>
      <c r="F46" s="8" t="s">
        <v>11</v>
      </c>
      <c r="G46" s="8" t="s">
        <v>12</v>
      </c>
      <c r="H46" s="8" t="s">
        <v>13</v>
      </c>
      <c r="I46" s="19">
        <v>460.58</v>
      </c>
      <c r="J46" s="9">
        <f>K46*I46</f>
        <v>165808.79999999999</v>
      </c>
      <c r="K46" s="8">
        <f>SUM(M46:AN46)</f>
        <v>360</v>
      </c>
      <c r="M46" s="18"/>
      <c r="N46" s="18"/>
      <c r="P46" s="18"/>
      <c r="Q46" s="18"/>
      <c r="R46" s="18"/>
      <c r="S46" s="18"/>
      <c r="T46" s="18"/>
      <c r="U46" s="18"/>
      <c r="V46" s="11">
        <v>20</v>
      </c>
      <c r="W46" s="11">
        <v>20</v>
      </c>
      <c r="X46" s="11">
        <v>20</v>
      </c>
      <c r="Y46" s="11">
        <v>20</v>
      </c>
      <c r="Z46" s="11">
        <v>20</v>
      </c>
      <c r="AA46" s="11">
        <v>20</v>
      </c>
      <c r="AC46" s="11">
        <v>20</v>
      </c>
      <c r="AD46" s="11">
        <v>20</v>
      </c>
      <c r="AE46" s="11">
        <v>20</v>
      </c>
      <c r="AF46" s="11">
        <v>20</v>
      </c>
      <c r="AG46" s="11">
        <v>20</v>
      </c>
      <c r="AH46" s="11">
        <v>20</v>
      </c>
      <c r="AI46" s="11">
        <v>20</v>
      </c>
      <c r="AJ46" s="11">
        <v>20</v>
      </c>
      <c r="AK46" s="11">
        <v>20</v>
      </c>
      <c r="AL46" s="11">
        <v>20</v>
      </c>
      <c r="AM46" s="11">
        <v>20</v>
      </c>
      <c r="AN46" s="11">
        <v>20</v>
      </c>
    </row>
    <row r="47" spans="1:40" ht="18.75" x14ac:dyDescent="0.25">
      <c r="B47" s="46"/>
      <c r="C47" s="7" t="s">
        <v>63</v>
      </c>
      <c r="D47" s="7" t="s">
        <v>26</v>
      </c>
      <c r="E47" s="7" t="s">
        <v>64</v>
      </c>
      <c r="F47" s="8" t="s">
        <v>11</v>
      </c>
      <c r="G47" s="8" t="s">
        <v>12</v>
      </c>
      <c r="H47" s="8" t="s">
        <v>13</v>
      </c>
      <c r="I47" s="19">
        <v>414</v>
      </c>
      <c r="J47" s="9">
        <f>K47*I47</f>
        <v>198720</v>
      </c>
      <c r="K47" s="8">
        <f>SUM(M47:AN47)</f>
        <v>480</v>
      </c>
      <c r="M47" s="18"/>
      <c r="N47" s="18"/>
      <c r="P47" s="11">
        <v>40</v>
      </c>
      <c r="Q47" s="11">
        <v>40</v>
      </c>
      <c r="R47" s="11">
        <v>40</v>
      </c>
      <c r="S47" s="11">
        <v>40</v>
      </c>
      <c r="T47" s="11">
        <v>40</v>
      </c>
      <c r="U47" s="11">
        <v>40</v>
      </c>
      <c r="V47" s="11">
        <v>40</v>
      </c>
      <c r="W47" s="11">
        <v>40</v>
      </c>
      <c r="X47" s="11">
        <v>40</v>
      </c>
      <c r="Y47" s="11">
        <v>40</v>
      </c>
      <c r="Z47" s="11">
        <v>40</v>
      </c>
      <c r="AA47" s="11">
        <v>40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spans="1:40" ht="18.75" x14ac:dyDescent="0.25">
      <c r="B48" s="46"/>
      <c r="C48" s="7" t="s">
        <v>88</v>
      </c>
      <c r="D48" s="7" t="s">
        <v>26</v>
      </c>
      <c r="E48" s="7" t="s">
        <v>65</v>
      </c>
      <c r="F48" s="8" t="s">
        <v>16</v>
      </c>
      <c r="G48" s="8" t="s">
        <v>12</v>
      </c>
      <c r="H48" s="8" t="s">
        <v>13</v>
      </c>
      <c r="I48" s="19">
        <v>414</v>
      </c>
      <c r="J48" s="9">
        <f>K48*I48</f>
        <v>298080</v>
      </c>
      <c r="K48" s="8">
        <f>SUM(M48:AN48)</f>
        <v>720</v>
      </c>
      <c r="M48" s="18"/>
      <c r="N48" s="18"/>
      <c r="P48" s="18"/>
      <c r="Q48" s="18"/>
      <c r="R48" s="18"/>
      <c r="S48" s="18"/>
      <c r="T48" s="18"/>
      <c r="U48" s="18"/>
      <c r="V48" s="11">
        <v>40</v>
      </c>
      <c r="W48" s="11">
        <v>40</v>
      </c>
      <c r="X48" s="11">
        <v>40</v>
      </c>
      <c r="Y48" s="11">
        <v>40</v>
      </c>
      <c r="Z48" s="11">
        <v>40</v>
      </c>
      <c r="AA48" s="11">
        <v>40</v>
      </c>
      <c r="AC48" s="11">
        <v>40</v>
      </c>
      <c r="AD48" s="11">
        <v>40</v>
      </c>
      <c r="AE48" s="11">
        <v>40</v>
      </c>
      <c r="AF48" s="11">
        <v>40</v>
      </c>
      <c r="AG48" s="11">
        <v>40</v>
      </c>
      <c r="AH48" s="11">
        <v>40</v>
      </c>
      <c r="AI48" s="11">
        <v>40</v>
      </c>
      <c r="AJ48" s="11">
        <v>40</v>
      </c>
      <c r="AK48" s="11">
        <v>40</v>
      </c>
      <c r="AL48" s="11">
        <v>40</v>
      </c>
      <c r="AM48" s="11">
        <v>40</v>
      </c>
      <c r="AN48" s="11">
        <v>40</v>
      </c>
    </row>
    <row r="49" spans="2:40" ht="18.75" x14ac:dyDescent="0.25">
      <c r="B49" s="46"/>
      <c r="C49" s="7" t="s">
        <v>63</v>
      </c>
      <c r="D49" s="7" t="s">
        <v>26</v>
      </c>
      <c r="E49" s="7" t="s">
        <v>65</v>
      </c>
      <c r="F49" s="8" t="s">
        <v>11</v>
      </c>
      <c r="G49" s="8" t="s">
        <v>12</v>
      </c>
      <c r="H49" s="8" t="s">
        <v>13</v>
      </c>
      <c r="I49" s="19">
        <v>414</v>
      </c>
      <c r="J49" s="9">
        <f>K49*I49</f>
        <v>215280</v>
      </c>
      <c r="K49" s="8">
        <f>SUM(M49:AN49)</f>
        <v>520</v>
      </c>
      <c r="M49" s="18"/>
      <c r="N49" s="18"/>
      <c r="P49" s="18"/>
      <c r="Q49" s="18"/>
      <c r="R49" s="18"/>
      <c r="S49" s="18"/>
      <c r="T49" s="18"/>
      <c r="U49" s="18"/>
      <c r="V49" s="11">
        <v>40</v>
      </c>
      <c r="W49" s="11">
        <v>40</v>
      </c>
      <c r="X49" s="11">
        <v>40</v>
      </c>
      <c r="Y49" s="11">
        <v>40</v>
      </c>
      <c r="Z49" s="11">
        <v>40</v>
      </c>
      <c r="AA49" s="11">
        <v>40</v>
      </c>
      <c r="AC49" s="11">
        <v>40</v>
      </c>
      <c r="AD49" s="11">
        <v>40</v>
      </c>
      <c r="AE49" s="11">
        <v>20</v>
      </c>
      <c r="AF49" s="11">
        <v>20</v>
      </c>
      <c r="AG49" s="11">
        <v>20</v>
      </c>
      <c r="AH49" s="11">
        <v>20</v>
      </c>
      <c r="AI49" s="11">
        <v>20</v>
      </c>
      <c r="AJ49" s="11">
        <v>20</v>
      </c>
      <c r="AK49" s="11">
        <v>20</v>
      </c>
      <c r="AL49" s="11">
        <v>20</v>
      </c>
      <c r="AM49" s="11">
        <v>20</v>
      </c>
      <c r="AN49" s="11">
        <v>20</v>
      </c>
    </row>
    <row r="50" spans="2:40" ht="18.75" x14ac:dyDescent="0.25">
      <c r="B50" s="47" t="s">
        <v>67</v>
      </c>
      <c r="C50" s="47"/>
      <c r="D50" s="47"/>
      <c r="E50" s="47"/>
      <c r="F50" s="47"/>
      <c r="G50" s="47"/>
      <c r="H50" s="47"/>
      <c r="I50" s="47"/>
      <c r="J50" s="13">
        <f>SUM(J45:J49)</f>
        <v>997639.6</v>
      </c>
      <c r="K50" s="14">
        <f>SUM(K45:K49)</f>
        <v>2340</v>
      </c>
      <c r="M50" s="16"/>
      <c r="N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2" spans="2:40" ht="26.25" x14ac:dyDescent="0.25">
      <c r="G52" s="45" t="s">
        <v>85</v>
      </c>
      <c r="H52" s="45"/>
      <c r="I52" s="45"/>
      <c r="J52" s="13">
        <f>SUM(J9+J25+J34+J38+J15+J43+J50+J29)</f>
        <v>3598908.4</v>
      </c>
      <c r="K52" s="17">
        <f>SUM(K9+K25+K29+K50+K34+K38+K15+K43)</f>
        <v>16224</v>
      </c>
    </row>
    <row r="54" spans="2:40" ht="26.25" x14ac:dyDescent="0.25">
      <c r="G54" s="45" t="s">
        <v>86</v>
      </c>
      <c r="H54" s="45"/>
      <c r="I54" s="45"/>
      <c r="J54" s="13">
        <f>338000/0.7</f>
        <v>482857.1428571429</v>
      </c>
      <c r="K54" s="17">
        <f>K77</f>
        <v>2088</v>
      </c>
    </row>
    <row r="56" spans="2:40" ht="26.25" x14ac:dyDescent="0.25">
      <c r="G56" s="52" t="s">
        <v>84</v>
      </c>
      <c r="H56" s="52"/>
      <c r="I56" s="52"/>
      <c r="J56" s="13">
        <f>SUM(J52:J55)</f>
        <v>4081765.5428571426</v>
      </c>
      <c r="K56" s="17">
        <f>SUM(K52:K55)</f>
        <v>18312</v>
      </c>
    </row>
    <row r="58" spans="2:40" ht="26.25" x14ac:dyDescent="0.25">
      <c r="G58" s="51" t="s">
        <v>87</v>
      </c>
      <c r="H58" s="51"/>
      <c r="I58" s="51"/>
      <c r="J58" s="13">
        <f>J56-J50</f>
        <v>3084125.9428571425</v>
      </c>
      <c r="K58" s="17">
        <f>K56-K50</f>
        <v>15972</v>
      </c>
    </row>
    <row r="60" spans="2:40" ht="26.25" hidden="1" x14ac:dyDescent="0.25">
      <c r="G60" s="45" t="s">
        <v>70</v>
      </c>
      <c r="H60" s="45"/>
      <c r="I60" s="45"/>
      <c r="J60" s="39">
        <f>J58-3000000</f>
        <v>84125.942857142538</v>
      </c>
    </row>
    <row r="62" spans="2:40" hidden="1" x14ac:dyDescent="0.25"/>
    <row r="63" spans="2:40" ht="18.75" hidden="1" x14ac:dyDescent="0.25">
      <c r="B63" s="46" t="s">
        <v>79</v>
      </c>
      <c r="C63" s="7" t="s">
        <v>72</v>
      </c>
      <c r="D63" s="7" t="s">
        <v>26</v>
      </c>
      <c r="E63" s="7" t="s">
        <v>76</v>
      </c>
      <c r="F63" s="8" t="s">
        <v>11</v>
      </c>
      <c r="G63" s="8" t="s">
        <v>12</v>
      </c>
      <c r="H63" s="8" t="s">
        <v>68</v>
      </c>
      <c r="I63" s="19">
        <f>405/0.7</f>
        <v>578.57142857142856</v>
      </c>
      <c r="J63" s="9">
        <f>K63*I63</f>
        <v>11571.428571428571</v>
      </c>
      <c r="K63" s="8">
        <f>SUM(M63:AN63)</f>
        <v>20</v>
      </c>
      <c r="M63" s="18"/>
      <c r="N63" s="18"/>
      <c r="P63" s="11">
        <v>3</v>
      </c>
      <c r="Q63" s="11">
        <v>3</v>
      </c>
      <c r="R63" s="11">
        <v>3</v>
      </c>
      <c r="S63" s="11">
        <v>3</v>
      </c>
      <c r="T63" s="11">
        <v>2</v>
      </c>
      <c r="U63" s="11">
        <v>2</v>
      </c>
      <c r="V63" s="11">
        <v>2</v>
      </c>
      <c r="W63" s="11">
        <v>2</v>
      </c>
      <c r="X63" s="18"/>
      <c r="Y63" s="18"/>
      <c r="Z63" s="18"/>
      <c r="AA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spans="2:40" ht="18.75" hidden="1" x14ac:dyDescent="0.25">
      <c r="B64" s="46"/>
      <c r="C64" s="7" t="s">
        <v>73</v>
      </c>
      <c r="D64" s="7" t="s">
        <v>26</v>
      </c>
      <c r="E64" s="7" t="s">
        <v>77</v>
      </c>
      <c r="F64" s="8" t="s">
        <v>11</v>
      </c>
      <c r="G64" s="8" t="s">
        <v>12</v>
      </c>
      <c r="H64" s="8" t="s">
        <v>68</v>
      </c>
      <c r="I64" s="19">
        <f>293/0.7</f>
        <v>418.57142857142861</v>
      </c>
      <c r="J64" s="9">
        <f>K64*I64</f>
        <v>26788.571428571431</v>
      </c>
      <c r="K64" s="8">
        <f>SUM(M64:AN64)</f>
        <v>64</v>
      </c>
      <c r="M64" s="18"/>
      <c r="N64" s="18"/>
      <c r="P64" s="11">
        <v>8</v>
      </c>
      <c r="Q64" s="11">
        <v>8</v>
      </c>
      <c r="R64" s="11">
        <v>8</v>
      </c>
      <c r="S64" s="11">
        <v>8</v>
      </c>
      <c r="T64" s="11">
        <v>8</v>
      </c>
      <c r="U64" s="11">
        <v>8</v>
      </c>
      <c r="V64" s="11">
        <v>8</v>
      </c>
      <c r="W64" s="11">
        <v>8</v>
      </c>
      <c r="X64" s="18"/>
      <c r="Y64" s="18"/>
      <c r="Z64" s="18"/>
      <c r="AA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2:40" ht="18.75" hidden="1" x14ac:dyDescent="0.25">
      <c r="B65" s="46"/>
      <c r="C65" s="7" t="s">
        <v>74</v>
      </c>
      <c r="D65" s="7" t="s">
        <v>26</v>
      </c>
      <c r="E65" s="7" t="s">
        <v>78</v>
      </c>
      <c r="F65" s="8" t="s">
        <v>11</v>
      </c>
      <c r="G65" s="8" t="s">
        <v>12</v>
      </c>
      <c r="H65" s="8" t="s">
        <v>68</v>
      </c>
      <c r="I65" s="19">
        <f>250/0.7</f>
        <v>357.14285714285717</v>
      </c>
      <c r="J65" s="9">
        <f>K65*I65</f>
        <v>114285.71428571429</v>
      </c>
      <c r="K65" s="8">
        <f>SUM(M65:AN65)</f>
        <v>320</v>
      </c>
      <c r="M65" s="18"/>
      <c r="N65" s="18"/>
      <c r="P65" s="11">
        <v>40</v>
      </c>
      <c r="Q65" s="11">
        <v>40</v>
      </c>
      <c r="R65" s="11">
        <v>40</v>
      </c>
      <c r="S65" s="11">
        <v>40</v>
      </c>
      <c r="T65" s="11">
        <v>40</v>
      </c>
      <c r="U65" s="11">
        <v>40</v>
      </c>
      <c r="V65" s="11">
        <v>40</v>
      </c>
      <c r="W65" s="11">
        <v>40</v>
      </c>
      <c r="X65" s="18"/>
      <c r="Y65" s="18"/>
      <c r="Z65" s="18"/>
      <c r="AA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2:40" ht="18.75" hidden="1" x14ac:dyDescent="0.25">
      <c r="B66" s="46"/>
      <c r="C66" s="7" t="s">
        <v>75</v>
      </c>
      <c r="D66" s="7" t="s">
        <v>26</v>
      </c>
      <c r="E66" s="7" t="s">
        <v>78</v>
      </c>
      <c r="F66" s="8" t="s">
        <v>16</v>
      </c>
      <c r="G66" s="27" t="s">
        <v>17</v>
      </c>
      <c r="H66" s="8" t="s">
        <v>68</v>
      </c>
      <c r="I66" s="19">
        <f>75/0.7</f>
        <v>107.14285714285715</v>
      </c>
      <c r="J66" s="9">
        <f>K66*I66</f>
        <v>34285.71428571429</v>
      </c>
      <c r="K66" s="8">
        <f>SUM(M66:AN66)</f>
        <v>320</v>
      </c>
      <c r="M66" s="18"/>
      <c r="N66" s="18"/>
      <c r="P66" s="11">
        <v>40</v>
      </c>
      <c r="Q66" s="11">
        <v>40</v>
      </c>
      <c r="R66" s="11">
        <v>40</v>
      </c>
      <c r="S66" s="11">
        <v>40</v>
      </c>
      <c r="T66" s="11">
        <v>40</v>
      </c>
      <c r="U66" s="11">
        <v>40</v>
      </c>
      <c r="V66" s="11">
        <v>40</v>
      </c>
      <c r="W66" s="11">
        <v>40</v>
      </c>
      <c r="X66" s="18"/>
      <c r="Y66" s="18"/>
      <c r="Z66" s="18"/>
      <c r="AA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2:40" ht="18.75" hidden="1" x14ac:dyDescent="0.25">
      <c r="B67" s="46"/>
      <c r="C67" s="7" t="s">
        <v>75</v>
      </c>
      <c r="D67" s="7" t="s">
        <v>26</v>
      </c>
      <c r="E67" s="7" t="s">
        <v>78</v>
      </c>
      <c r="F67" s="8" t="s">
        <v>16</v>
      </c>
      <c r="G67" s="27" t="s">
        <v>17</v>
      </c>
      <c r="H67" s="8" t="s">
        <v>68</v>
      </c>
      <c r="I67" s="19">
        <f>75/0.7</f>
        <v>107.14285714285715</v>
      </c>
      <c r="J67" s="9">
        <f>K67*I67</f>
        <v>34285.71428571429</v>
      </c>
      <c r="K67" s="8">
        <f>SUM(M67:AN67)</f>
        <v>320</v>
      </c>
      <c r="M67" s="18"/>
      <c r="N67" s="18"/>
      <c r="P67" s="11">
        <v>40</v>
      </c>
      <c r="Q67" s="11">
        <v>40</v>
      </c>
      <c r="R67" s="11">
        <v>40</v>
      </c>
      <c r="S67" s="11">
        <v>40</v>
      </c>
      <c r="T67" s="11">
        <v>40</v>
      </c>
      <c r="U67" s="11">
        <v>40</v>
      </c>
      <c r="V67" s="11">
        <v>40</v>
      </c>
      <c r="W67" s="11">
        <v>40</v>
      </c>
      <c r="X67" s="18"/>
      <c r="Y67" s="18"/>
      <c r="Z67" s="18"/>
      <c r="AA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2:40" ht="18.75" hidden="1" x14ac:dyDescent="0.25">
      <c r="B68" s="47" t="s">
        <v>81</v>
      </c>
      <c r="C68" s="47"/>
      <c r="D68" s="47"/>
      <c r="E68" s="47"/>
      <c r="F68" s="47"/>
      <c r="G68" s="47"/>
      <c r="H68" s="47"/>
      <c r="I68" s="47"/>
      <c r="J68" s="13">
        <f>SUM(J63:J67)</f>
        <v>221217.14285714287</v>
      </c>
      <c r="K68" s="14">
        <f>SUM(K63:K67)</f>
        <v>1044</v>
      </c>
      <c r="M68" s="16"/>
      <c r="N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spans="2:40" hidden="1" x14ac:dyDescent="0.25"/>
    <row r="70" spans="2:40" ht="18.75" hidden="1" customHeight="1" x14ac:dyDescent="0.25">
      <c r="B70" s="46" t="s">
        <v>80</v>
      </c>
      <c r="C70" s="7" t="s">
        <v>39</v>
      </c>
      <c r="D70" s="7" t="s">
        <v>26</v>
      </c>
      <c r="E70" s="7" t="s">
        <v>76</v>
      </c>
      <c r="F70" s="8" t="s">
        <v>11</v>
      </c>
      <c r="G70" s="8" t="s">
        <v>12</v>
      </c>
      <c r="H70" s="8" t="s">
        <v>68</v>
      </c>
      <c r="I70" s="19">
        <f>405/0.7</f>
        <v>578.57142857142856</v>
      </c>
      <c r="J70" s="9">
        <f>K70*I70</f>
        <v>11571.428571428571</v>
      </c>
      <c r="K70" s="8">
        <f>SUM(M70:AN70)</f>
        <v>20</v>
      </c>
      <c r="M70" s="18"/>
      <c r="N70" s="18"/>
      <c r="P70" s="11">
        <v>3</v>
      </c>
      <c r="Q70" s="11">
        <v>3</v>
      </c>
      <c r="R70" s="11">
        <v>3</v>
      </c>
      <c r="S70" s="11">
        <v>3</v>
      </c>
      <c r="T70" s="11">
        <v>2</v>
      </c>
      <c r="U70" s="11">
        <v>2</v>
      </c>
      <c r="V70" s="11">
        <v>2</v>
      </c>
      <c r="W70" s="11">
        <v>2</v>
      </c>
      <c r="X70" s="18"/>
      <c r="Y70" s="18"/>
      <c r="Z70" s="18"/>
      <c r="AA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spans="2:40" ht="18.75" hidden="1" x14ac:dyDescent="0.25">
      <c r="B71" s="46"/>
      <c r="C71" s="7" t="s">
        <v>39</v>
      </c>
      <c r="D71" s="7" t="s">
        <v>26</v>
      </c>
      <c r="E71" s="7" t="s">
        <v>77</v>
      </c>
      <c r="F71" s="8" t="s">
        <v>11</v>
      </c>
      <c r="G71" s="8" t="s">
        <v>12</v>
      </c>
      <c r="H71" s="8" t="s">
        <v>68</v>
      </c>
      <c r="I71" s="19">
        <f>293/0.7</f>
        <v>418.57142857142861</v>
      </c>
      <c r="J71" s="9">
        <f>K71*I71</f>
        <v>26788.571428571431</v>
      </c>
      <c r="K71" s="8">
        <f>SUM(M71:AN71)</f>
        <v>64</v>
      </c>
      <c r="M71" s="18"/>
      <c r="N71" s="18"/>
      <c r="P71" s="11">
        <v>8</v>
      </c>
      <c r="Q71" s="11">
        <v>8</v>
      </c>
      <c r="R71" s="11">
        <v>8</v>
      </c>
      <c r="S71" s="11">
        <v>8</v>
      </c>
      <c r="T71" s="11">
        <v>8</v>
      </c>
      <c r="U71" s="11">
        <v>8</v>
      </c>
      <c r="V71" s="11">
        <v>8</v>
      </c>
      <c r="W71" s="11">
        <v>8</v>
      </c>
      <c r="X71" s="18"/>
      <c r="Y71" s="18"/>
      <c r="Z71" s="18"/>
      <c r="AA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2:40" ht="18.75" hidden="1" x14ac:dyDescent="0.25">
      <c r="B72" s="46"/>
      <c r="C72" s="7" t="s">
        <v>63</v>
      </c>
      <c r="D72" s="7" t="s">
        <v>26</v>
      </c>
      <c r="E72" s="7" t="s">
        <v>78</v>
      </c>
      <c r="F72" s="8" t="s">
        <v>11</v>
      </c>
      <c r="G72" s="8" t="s">
        <v>12</v>
      </c>
      <c r="H72" s="8" t="s">
        <v>68</v>
      </c>
      <c r="I72" s="19">
        <f>250/0.7</f>
        <v>357.14285714285717</v>
      </c>
      <c r="J72" s="9">
        <f>K72*I72</f>
        <v>114285.71428571429</v>
      </c>
      <c r="K72" s="8">
        <f>SUM(M72:AN72)</f>
        <v>320</v>
      </c>
      <c r="M72" s="18"/>
      <c r="N72" s="18"/>
      <c r="P72" s="11">
        <v>40</v>
      </c>
      <c r="Q72" s="11">
        <v>40</v>
      </c>
      <c r="R72" s="11">
        <v>40</v>
      </c>
      <c r="S72" s="11">
        <v>40</v>
      </c>
      <c r="T72" s="11">
        <v>40</v>
      </c>
      <c r="U72" s="11">
        <v>40</v>
      </c>
      <c r="V72" s="11">
        <v>40</v>
      </c>
      <c r="W72" s="11">
        <v>40</v>
      </c>
      <c r="X72" s="18"/>
      <c r="Y72" s="18"/>
      <c r="Z72" s="18"/>
      <c r="AA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2:40" ht="18.75" hidden="1" x14ac:dyDescent="0.25">
      <c r="B73" s="46"/>
      <c r="C73" s="7" t="s">
        <v>63</v>
      </c>
      <c r="D73" s="7" t="s">
        <v>26</v>
      </c>
      <c r="E73" s="7" t="s">
        <v>78</v>
      </c>
      <c r="F73" s="8" t="s">
        <v>11</v>
      </c>
      <c r="G73" s="27" t="s">
        <v>17</v>
      </c>
      <c r="H73" s="8" t="s">
        <v>68</v>
      </c>
      <c r="I73" s="19">
        <f>75/0.7</f>
        <v>107.14285714285715</v>
      </c>
      <c r="J73" s="9">
        <f>K73*I73</f>
        <v>34285.71428571429</v>
      </c>
      <c r="K73" s="8">
        <f>SUM(M73:AN73)</f>
        <v>320</v>
      </c>
      <c r="M73" s="18"/>
      <c r="N73" s="18"/>
      <c r="P73" s="11">
        <v>40</v>
      </c>
      <c r="Q73" s="11">
        <v>40</v>
      </c>
      <c r="R73" s="11">
        <v>40</v>
      </c>
      <c r="S73" s="11">
        <v>40</v>
      </c>
      <c r="T73" s="11">
        <v>40</v>
      </c>
      <c r="U73" s="11">
        <v>40</v>
      </c>
      <c r="V73" s="11">
        <v>40</v>
      </c>
      <c r="W73" s="11">
        <v>40</v>
      </c>
      <c r="X73" s="18"/>
      <c r="Y73" s="18"/>
      <c r="Z73" s="18"/>
      <c r="AA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spans="2:40" ht="18.75" hidden="1" x14ac:dyDescent="0.25">
      <c r="B74" s="46"/>
      <c r="C74" s="7" t="s">
        <v>63</v>
      </c>
      <c r="D74" s="7" t="s">
        <v>26</v>
      </c>
      <c r="E74" s="7" t="s">
        <v>78</v>
      </c>
      <c r="F74" s="8" t="s">
        <v>11</v>
      </c>
      <c r="G74" s="27" t="s">
        <v>17</v>
      </c>
      <c r="H74" s="8" t="s">
        <v>68</v>
      </c>
      <c r="I74" s="19">
        <f>75/0.7</f>
        <v>107.14285714285715</v>
      </c>
      <c r="J74" s="9">
        <f>K74*I74</f>
        <v>34285.71428571429</v>
      </c>
      <c r="K74" s="8">
        <f>SUM(M74:AN74)</f>
        <v>320</v>
      </c>
      <c r="M74" s="18"/>
      <c r="N74" s="18"/>
      <c r="P74" s="11">
        <v>40</v>
      </c>
      <c r="Q74" s="11">
        <v>40</v>
      </c>
      <c r="R74" s="11">
        <v>40</v>
      </c>
      <c r="S74" s="11">
        <v>40</v>
      </c>
      <c r="T74" s="11">
        <v>40</v>
      </c>
      <c r="U74" s="11">
        <v>40</v>
      </c>
      <c r="V74" s="11">
        <v>40</v>
      </c>
      <c r="W74" s="11">
        <v>40</v>
      </c>
      <c r="X74" s="18"/>
      <c r="Y74" s="18"/>
      <c r="Z74" s="18"/>
      <c r="AA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spans="2:40" ht="18.75" hidden="1" x14ac:dyDescent="0.25">
      <c r="B75" s="47" t="s">
        <v>82</v>
      </c>
      <c r="C75" s="47"/>
      <c r="D75" s="47"/>
      <c r="E75" s="47"/>
      <c r="F75" s="47"/>
      <c r="G75" s="47"/>
      <c r="H75" s="47"/>
      <c r="I75" s="47"/>
      <c r="J75" s="13">
        <f>SUM(J70:J74)</f>
        <v>221217.14285714287</v>
      </c>
      <c r="K75" s="14">
        <f>SUM(K70:K74)</f>
        <v>1044</v>
      </c>
      <c r="M75" s="16"/>
      <c r="N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spans="2:40" hidden="1" x14ac:dyDescent="0.25"/>
    <row r="77" spans="2:40" ht="26.25" hidden="1" x14ac:dyDescent="0.25">
      <c r="G77" s="45" t="s">
        <v>83</v>
      </c>
      <c r="H77" s="45"/>
      <c r="I77" s="45"/>
      <c r="J77" s="13">
        <f>J68+J75</f>
        <v>442434.28571428574</v>
      </c>
      <c r="K77" s="14">
        <f>K68+K75</f>
        <v>2088</v>
      </c>
    </row>
    <row r="78" spans="2:40" hidden="1" x14ac:dyDescent="0.25"/>
    <row r="79" spans="2:40" hidden="1" x14ac:dyDescent="0.25"/>
    <row r="80" spans="2:40" hidden="1" x14ac:dyDescent="0.25"/>
    <row r="81" hidden="1" x14ac:dyDescent="0.25"/>
  </sheetData>
  <mergeCells count="31">
    <mergeCell ref="B36:B37"/>
    <mergeCell ref="B38:I38"/>
    <mergeCell ref="G58:I58"/>
    <mergeCell ref="G60:I60"/>
    <mergeCell ref="B43:I43"/>
    <mergeCell ref="B45:B49"/>
    <mergeCell ref="B50:I50"/>
    <mergeCell ref="G52:I52"/>
    <mergeCell ref="G54:I54"/>
    <mergeCell ref="G56:I56"/>
    <mergeCell ref="M3:N3"/>
    <mergeCell ref="P3:AN3"/>
    <mergeCell ref="M5:N5"/>
    <mergeCell ref="P5:AA5"/>
    <mergeCell ref="AC5:AN5"/>
    <mergeCell ref="G77:I77"/>
    <mergeCell ref="B7:B8"/>
    <mergeCell ref="B63:B67"/>
    <mergeCell ref="B68:I68"/>
    <mergeCell ref="B70:B74"/>
    <mergeCell ref="B75:I75"/>
    <mergeCell ref="B40:B42"/>
    <mergeCell ref="B9:I9"/>
    <mergeCell ref="B11:B14"/>
    <mergeCell ref="B15:I15"/>
    <mergeCell ref="B17:B24"/>
    <mergeCell ref="B25:I25"/>
    <mergeCell ref="B27:B28"/>
    <mergeCell ref="B29:I29"/>
    <mergeCell ref="B31:B33"/>
    <mergeCell ref="B34:I34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26DE-838E-48C7-8606-ECC133E8DC44}">
  <dimension ref="A2:AN51"/>
  <sheetViews>
    <sheetView showGridLines="0" zoomScale="60" zoomScaleNormal="60" zoomScaleSheetLayoutView="50" workbookViewId="0">
      <selection activeCell="W61" sqref="W61"/>
    </sheetView>
  </sheetViews>
  <sheetFormatPr defaultColWidth="9.140625" defaultRowHeight="15" x14ac:dyDescent="0.25"/>
  <cols>
    <col min="1" max="1" width="3.140625" style="3" customWidth="1"/>
    <col min="2" max="2" width="22.7109375" style="28" customWidth="1"/>
    <col min="3" max="3" width="42.28515625" style="1" bestFit="1" customWidth="1"/>
    <col min="4" max="4" width="12.140625" style="1" hidden="1" customWidth="1"/>
    <col min="5" max="5" width="82" style="1" hidden="1" customWidth="1"/>
    <col min="6" max="6" width="15" style="2" hidden="1" customWidth="1"/>
    <col min="7" max="7" width="13.42578125" style="2" hidden="1" customWidth="1"/>
    <col min="8" max="8" width="15.42578125" style="3" hidden="1" customWidth="1"/>
    <col min="9" max="9" width="14.140625" style="3" hidden="1" customWidth="1"/>
    <col min="10" max="10" width="43.42578125" style="3" hidden="1" customWidth="1"/>
    <col min="11" max="11" width="10.5703125" style="3" customWidth="1"/>
    <col min="12" max="12" width="1.7109375" style="3" customWidth="1"/>
    <col min="13" max="14" width="11.85546875" style="3" bestFit="1" customWidth="1"/>
    <col min="15" max="15" width="2.7109375" style="3" customWidth="1"/>
    <col min="16" max="23" width="4.85546875" style="3" bestFit="1" customWidth="1"/>
    <col min="24" max="24" width="5.28515625" style="3" bestFit="1" customWidth="1"/>
    <col min="25" max="25" width="4.85546875" style="3" bestFit="1" customWidth="1"/>
    <col min="26" max="27" width="5.28515625" style="3" bestFit="1" customWidth="1"/>
    <col min="28" max="28" width="2.7109375" style="3" customWidth="1"/>
    <col min="29" max="32" width="5.28515625" style="3" bestFit="1" customWidth="1"/>
    <col min="33" max="33" width="5.85546875" style="3" bestFit="1" customWidth="1"/>
    <col min="34" max="38" width="5.28515625" style="3" bestFit="1" customWidth="1"/>
    <col min="39" max="39" width="5.85546875" style="3" bestFit="1" customWidth="1"/>
    <col min="40" max="40" width="5.28515625" style="3" bestFit="1" customWidth="1"/>
    <col min="41" max="16384" width="9.140625" style="3"/>
  </cols>
  <sheetData>
    <row r="2" spans="2:40" s="2" customFormat="1" ht="18.75" x14ac:dyDescent="0.25">
      <c r="B2" s="4" t="s">
        <v>0</v>
      </c>
      <c r="C2" s="4" t="s">
        <v>1</v>
      </c>
      <c r="D2" s="4" t="s">
        <v>0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5" t="s">
        <v>7</v>
      </c>
      <c r="K2" s="4" t="s">
        <v>8</v>
      </c>
      <c r="M2" s="4">
        <v>1</v>
      </c>
      <c r="N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C2" s="4">
        <v>15</v>
      </c>
      <c r="AD2" s="4">
        <v>16</v>
      </c>
      <c r="AE2" s="4">
        <v>17</v>
      </c>
      <c r="AF2" s="4">
        <v>18</v>
      </c>
      <c r="AG2" s="4">
        <v>19</v>
      </c>
      <c r="AH2" s="4">
        <v>20</v>
      </c>
      <c r="AI2" s="4">
        <v>21</v>
      </c>
      <c r="AJ2" s="4">
        <v>22</v>
      </c>
      <c r="AK2" s="4">
        <v>23</v>
      </c>
      <c r="AL2" s="4">
        <v>24</v>
      </c>
      <c r="AM2" s="4">
        <v>25</v>
      </c>
      <c r="AN2" s="4">
        <v>26</v>
      </c>
    </row>
    <row r="3" spans="2:40" ht="65.25" customHeight="1" x14ac:dyDescent="0.25">
      <c r="F3" s="6"/>
      <c r="G3" s="6"/>
      <c r="H3" s="6"/>
      <c r="I3" s="6"/>
      <c r="J3" s="6"/>
      <c r="K3" s="6"/>
      <c r="M3" s="69" t="s">
        <v>9</v>
      </c>
      <c r="N3" s="70"/>
      <c r="P3" s="65" t="s">
        <v>24</v>
      </c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</row>
    <row r="4" spans="2:40" ht="15.6" customHeight="1" x14ac:dyDescent="0.25">
      <c r="F4" s="6"/>
      <c r="G4" s="6"/>
      <c r="H4" s="6"/>
      <c r="I4" s="6"/>
      <c r="J4" s="6"/>
      <c r="K4" s="6"/>
      <c r="M4" s="67" t="s">
        <v>46</v>
      </c>
      <c r="N4" s="71"/>
      <c r="P4" s="67" t="s">
        <v>54</v>
      </c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C4" s="67" t="s">
        <v>54</v>
      </c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spans="2:40" customFormat="1" ht="31.5" customHeight="1" x14ac:dyDescent="0.25"/>
    <row r="6" spans="2:40" ht="27.75" customHeight="1" x14ac:dyDescent="0.25">
      <c r="B6" s="56" t="s">
        <v>15</v>
      </c>
      <c r="C6" s="7" t="s">
        <v>10</v>
      </c>
      <c r="D6" s="7" t="s">
        <v>25</v>
      </c>
      <c r="E6" s="7" t="s">
        <v>42</v>
      </c>
      <c r="F6" s="8" t="s">
        <v>11</v>
      </c>
      <c r="G6" s="8" t="s">
        <v>12</v>
      </c>
      <c r="H6" s="8" t="s">
        <v>13</v>
      </c>
      <c r="I6" s="19">
        <v>365</v>
      </c>
      <c r="J6" s="9">
        <f>K6*I6</f>
        <v>379600</v>
      </c>
      <c r="K6" s="8">
        <f>SUM(M6:AN6)</f>
        <v>1040</v>
      </c>
      <c r="M6" s="10">
        <v>40</v>
      </c>
      <c r="N6" s="10">
        <v>40</v>
      </c>
      <c r="P6" s="11">
        <v>40</v>
      </c>
      <c r="Q6" s="11">
        <v>40</v>
      </c>
      <c r="R6" s="11">
        <v>40</v>
      </c>
      <c r="S6" s="11">
        <v>40</v>
      </c>
      <c r="T6" s="11">
        <v>40</v>
      </c>
      <c r="U6" s="11">
        <v>40</v>
      </c>
      <c r="V6" s="11">
        <v>40</v>
      </c>
      <c r="W6" s="11">
        <v>40</v>
      </c>
      <c r="X6" s="11">
        <v>40</v>
      </c>
      <c r="Y6" s="11">
        <v>40</v>
      </c>
      <c r="Z6" s="11">
        <v>40</v>
      </c>
      <c r="AA6" s="11">
        <v>40</v>
      </c>
      <c r="AC6" s="11">
        <v>40</v>
      </c>
      <c r="AD6" s="11">
        <v>40</v>
      </c>
      <c r="AE6" s="11">
        <v>40</v>
      </c>
      <c r="AF6" s="11">
        <v>40</v>
      </c>
      <c r="AG6" s="11">
        <v>40</v>
      </c>
      <c r="AH6" s="11">
        <v>40</v>
      </c>
      <c r="AI6" s="11">
        <v>40</v>
      </c>
      <c r="AJ6" s="11">
        <v>40</v>
      </c>
      <c r="AK6" s="11">
        <v>40</v>
      </c>
      <c r="AL6" s="11">
        <v>40</v>
      </c>
      <c r="AM6" s="11">
        <v>40</v>
      </c>
      <c r="AN6" s="11">
        <v>40</v>
      </c>
    </row>
    <row r="7" spans="2:40" ht="27.75" customHeight="1" x14ac:dyDescent="0.25">
      <c r="B7" s="56"/>
      <c r="C7" s="7" t="s">
        <v>10</v>
      </c>
      <c r="D7" s="7" t="s">
        <v>25</v>
      </c>
      <c r="E7" s="7" t="s">
        <v>53</v>
      </c>
      <c r="F7" s="8" t="s">
        <v>11</v>
      </c>
      <c r="G7" s="8" t="s">
        <v>12</v>
      </c>
      <c r="H7" s="8" t="s">
        <v>13</v>
      </c>
      <c r="I7" s="19">
        <v>365</v>
      </c>
      <c r="J7" s="9">
        <f t="shared" ref="J7" si="0">K7*I7</f>
        <v>379600</v>
      </c>
      <c r="K7" s="8">
        <f>SUM(M7:AN7)</f>
        <v>1040</v>
      </c>
      <c r="M7" s="10">
        <v>40</v>
      </c>
      <c r="N7" s="10">
        <v>40</v>
      </c>
      <c r="P7" s="11">
        <v>40</v>
      </c>
      <c r="Q7" s="11">
        <v>40</v>
      </c>
      <c r="R7" s="11">
        <v>40</v>
      </c>
      <c r="S7" s="11">
        <v>40</v>
      </c>
      <c r="T7" s="11">
        <v>40</v>
      </c>
      <c r="U7" s="11">
        <v>40</v>
      </c>
      <c r="V7" s="11">
        <v>40</v>
      </c>
      <c r="W7" s="11">
        <v>40</v>
      </c>
      <c r="X7" s="11">
        <v>40</v>
      </c>
      <c r="Y7" s="11">
        <v>40</v>
      </c>
      <c r="Z7" s="11">
        <v>40</v>
      </c>
      <c r="AA7" s="11">
        <v>40</v>
      </c>
      <c r="AC7" s="11">
        <v>40</v>
      </c>
      <c r="AD7" s="11">
        <v>40</v>
      </c>
      <c r="AE7" s="11">
        <v>40</v>
      </c>
      <c r="AF7" s="11">
        <v>40</v>
      </c>
      <c r="AG7" s="11">
        <v>40</v>
      </c>
      <c r="AH7" s="11">
        <v>40</v>
      </c>
      <c r="AI7" s="11">
        <v>40</v>
      </c>
      <c r="AJ7" s="11">
        <v>40</v>
      </c>
      <c r="AK7" s="11">
        <v>40</v>
      </c>
      <c r="AL7" s="11">
        <v>40</v>
      </c>
      <c r="AM7" s="11">
        <v>40</v>
      </c>
      <c r="AN7" s="11">
        <v>40</v>
      </c>
    </row>
    <row r="8" spans="2:40" ht="18.75" x14ac:dyDescent="0.25">
      <c r="B8" s="53" t="s">
        <v>15</v>
      </c>
      <c r="C8" s="54"/>
      <c r="D8" s="54"/>
      <c r="E8" s="54"/>
      <c r="F8" s="54"/>
      <c r="G8" s="54"/>
      <c r="H8" s="54"/>
      <c r="I8" s="55"/>
      <c r="J8" s="13">
        <f>SUM(J6:J7)</f>
        <v>759200</v>
      </c>
      <c r="K8" s="14">
        <f>SUM(K6:K7)</f>
        <v>2080</v>
      </c>
      <c r="M8" s="15"/>
      <c r="N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2:40" ht="12" customHeight="1" x14ac:dyDescent="0.25">
      <c r="B9" s="29"/>
      <c r="C9" s="21"/>
      <c r="D9" s="21"/>
      <c r="E9" s="21"/>
      <c r="F9" s="22"/>
      <c r="G9" s="22"/>
      <c r="H9" s="22"/>
      <c r="I9" s="23"/>
      <c r="J9" s="24"/>
      <c r="K9" s="22"/>
      <c r="L9" s="25"/>
      <c r="M9" s="26"/>
      <c r="N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</row>
    <row r="10" spans="2:40" ht="26.25" customHeight="1" x14ac:dyDescent="0.25">
      <c r="B10" s="56" t="s">
        <v>44</v>
      </c>
      <c r="C10" s="7" t="s">
        <v>21</v>
      </c>
      <c r="D10" s="7" t="s">
        <v>25</v>
      </c>
      <c r="E10" s="7" t="s">
        <v>35</v>
      </c>
      <c r="F10" s="8" t="s">
        <v>11</v>
      </c>
      <c r="G10" s="8" t="s">
        <v>12</v>
      </c>
      <c r="H10" s="8" t="s">
        <v>13</v>
      </c>
      <c r="I10" s="19">
        <v>405</v>
      </c>
      <c r="J10" s="9">
        <f t="shared" ref="J10:J11" si="1">K10*I10</f>
        <v>168480</v>
      </c>
      <c r="K10" s="8">
        <f>SUM(M10:AN10)</f>
        <v>416</v>
      </c>
      <c r="M10" s="10">
        <v>16</v>
      </c>
      <c r="N10" s="10">
        <v>16</v>
      </c>
      <c r="P10" s="11">
        <v>16</v>
      </c>
      <c r="Q10" s="11">
        <v>16</v>
      </c>
      <c r="R10" s="11">
        <v>16</v>
      </c>
      <c r="S10" s="11">
        <v>16</v>
      </c>
      <c r="T10" s="11">
        <v>16</v>
      </c>
      <c r="U10" s="11">
        <v>16</v>
      </c>
      <c r="V10" s="11">
        <v>16</v>
      </c>
      <c r="W10" s="11">
        <v>16</v>
      </c>
      <c r="X10" s="11">
        <v>16</v>
      </c>
      <c r="Y10" s="11">
        <v>16</v>
      </c>
      <c r="Z10" s="11">
        <v>16</v>
      </c>
      <c r="AA10" s="11">
        <v>16</v>
      </c>
      <c r="AC10" s="11">
        <v>16</v>
      </c>
      <c r="AD10" s="11">
        <v>16</v>
      </c>
      <c r="AE10" s="11">
        <v>16</v>
      </c>
      <c r="AF10" s="11">
        <v>16</v>
      </c>
      <c r="AG10" s="11">
        <v>16</v>
      </c>
      <c r="AH10" s="11">
        <v>16</v>
      </c>
      <c r="AI10" s="11">
        <v>16</v>
      </c>
      <c r="AJ10" s="11">
        <v>16</v>
      </c>
      <c r="AK10" s="11">
        <v>16</v>
      </c>
      <c r="AL10" s="11">
        <v>16</v>
      </c>
      <c r="AM10" s="11">
        <v>16</v>
      </c>
      <c r="AN10" s="11">
        <v>16</v>
      </c>
    </row>
    <row r="11" spans="2:40" ht="26.25" customHeight="1" x14ac:dyDescent="0.25">
      <c r="B11" s="56"/>
      <c r="C11" s="7" t="s">
        <v>21</v>
      </c>
      <c r="D11" s="7" t="s">
        <v>27</v>
      </c>
      <c r="E11" s="7" t="s">
        <v>43</v>
      </c>
      <c r="F11" s="8" t="s">
        <v>16</v>
      </c>
      <c r="G11" s="27" t="s">
        <v>17</v>
      </c>
      <c r="H11" s="8" t="s">
        <v>13</v>
      </c>
      <c r="I11" s="19">
        <v>90</v>
      </c>
      <c r="J11" s="9">
        <f t="shared" si="1"/>
        <v>93600</v>
      </c>
      <c r="K11" s="8">
        <f>SUM(M11:AN11)</f>
        <v>1040</v>
      </c>
      <c r="M11" s="10">
        <v>40</v>
      </c>
      <c r="N11" s="10">
        <v>40</v>
      </c>
      <c r="P11" s="11">
        <v>40</v>
      </c>
      <c r="Q11" s="11">
        <v>40</v>
      </c>
      <c r="R11" s="11">
        <v>40</v>
      </c>
      <c r="S11" s="11">
        <v>40</v>
      </c>
      <c r="T11" s="11">
        <v>40</v>
      </c>
      <c r="U11" s="11">
        <v>40</v>
      </c>
      <c r="V11" s="11">
        <v>40</v>
      </c>
      <c r="W11" s="11">
        <v>40</v>
      </c>
      <c r="X11" s="11">
        <v>40</v>
      </c>
      <c r="Y11" s="11">
        <v>40</v>
      </c>
      <c r="Z11" s="11">
        <v>40</v>
      </c>
      <c r="AA11" s="11">
        <v>40</v>
      </c>
      <c r="AC11" s="11">
        <v>40</v>
      </c>
      <c r="AD11" s="11">
        <v>40</v>
      </c>
      <c r="AE11" s="11">
        <v>40</v>
      </c>
      <c r="AF11" s="11">
        <v>40</v>
      </c>
      <c r="AG11" s="11">
        <v>40</v>
      </c>
      <c r="AH11" s="11">
        <v>40</v>
      </c>
      <c r="AI11" s="11">
        <v>40</v>
      </c>
      <c r="AJ11" s="11">
        <v>40</v>
      </c>
      <c r="AK11" s="11">
        <v>40</v>
      </c>
      <c r="AL11" s="11">
        <v>40</v>
      </c>
      <c r="AM11" s="11">
        <v>40</v>
      </c>
      <c r="AN11" s="11">
        <v>40</v>
      </c>
    </row>
    <row r="12" spans="2:40" ht="26.25" customHeight="1" x14ac:dyDescent="0.25">
      <c r="B12" s="56"/>
      <c r="C12" s="7" t="s">
        <v>21</v>
      </c>
      <c r="D12" s="7" t="s">
        <v>25</v>
      </c>
      <c r="E12" s="7" t="s">
        <v>36</v>
      </c>
      <c r="F12" s="8" t="s">
        <v>11</v>
      </c>
      <c r="G12" s="8" t="s">
        <v>12</v>
      </c>
      <c r="H12" s="8" t="s">
        <v>13</v>
      </c>
      <c r="I12" s="19">
        <v>405</v>
      </c>
      <c r="J12" s="9">
        <f t="shared" ref="J12" si="2">K12*I12</f>
        <v>38880</v>
      </c>
      <c r="K12" s="8">
        <f>SUM(M12:AN12)</f>
        <v>96</v>
      </c>
      <c r="M12" s="18"/>
      <c r="N12" s="18"/>
      <c r="P12" s="11">
        <v>4</v>
      </c>
      <c r="Q12" s="11">
        <v>4</v>
      </c>
      <c r="R12" s="11">
        <v>4</v>
      </c>
      <c r="S12" s="11">
        <v>4</v>
      </c>
      <c r="T12" s="11">
        <v>4</v>
      </c>
      <c r="U12" s="11">
        <v>4</v>
      </c>
      <c r="V12" s="11">
        <v>4</v>
      </c>
      <c r="W12" s="11">
        <v>4</v>
      </c>
      <c r="X12" s="11">
        <v>4</v>
      </c>
      <c r="Y12" s="11">
        <v>4</v>
      </c>
      <c r="Z12" s="11">
        <v>4</v>
      </c>
      <c r="AA12" s="11">
        <v>4</v>
      </c>
      <c r="AC12" s="11">
        <v>4</v>
      </c>
      <c r="AD12" s="11">
        <v>4</v>
      </c>
      <c r="AE12" s="11">
        <v>4</v>
      </c>
      <c r="AF12" s="11">
        <v>4</v>
      </c>
      <c r="AG12" s="11">
        <v>4</v>
      </c>
      <c r="AH12" s="11">
        <v>4</v>
      </c>
      <c r="AI12" s="11">
        <v>4</v>
      </c>
      <c r="AJ12" s="11">
        <v>4</v>
      </c>
      <c r="AK12" s="11">
        <v>4</v>
      </c>
      <c r="AL12" s="11">
        <v>4</v>
      </c>
      <c r="AM12" s="11">
        <v>4</v>
      </c>
      <c r="AN12" s="11">
        <v>4</v>
      </c>
    </row>
    <row r="13" spans="2:40" ht="27.75" customHeight="1" x14ac:dyDescent="0.25">
      <c r="B13" s="56"/>
      <c r="C13" s="7" t="s">
        <v>10</v>
      </c>
      <c r="D13" s="7" t="s">
        <v>25</v>
      </c>
      <c r="E13" s="7" t="s">
        <v>41</v>
      </c>
      <c r="F13" s="8" t="s">
        <v>11</v>
      </c>
      <c r="G13" s="8" t="s">
        <v>12</v>
      </c>
      <c r="H13" s="8" t="s">
        <v>13</v>
      </c>
      <c r="I13" s="19">
        <v>365</v>
      </c>
      <c r="J13" s="9">
        <f t="shared" ref="J13" si="3">K13*I13</f>
        <v>46720</v>
      </c>
      <c r="K13" s="8">
        <f>SUM(M13:AN13)</f>
        <v>128</v>
      </c>
      <c r="M13" s="10">
        <v>16</v>
      </c>
      <c r="N13" s="10">
        <v>16</v>
      </c>
      <c r="P13" s="11">
        <v>4</v>
      </c>
      <c r="Q13" s="11">
        <v>4</v>
      </c>
      <c r="R13" s="11">
        <v>4</v>
      </c>
      <c r="S13" s="11">
        <v>4</v>
      </c>
      <c r="T13" s="11">
        <v>4</v>
      </c>
      <c r="U13" s="11">
        <v>4</v>
      </c>
      <c r="V13" s="11">
        <v>4</v>
      </c>
      <c r="W13" s="11">
        <v>4</v>
      </c>
      <c r="X13" s="11">
        <v>4</v>
      </c>
      <c r="Y13" s="11">
        <v>4</v>
      </c>
      <c r="Z13" s="11">
        <v>4</v>
      </c>
      <c r="AA13" s="11">
        <v>4</v>
      </c>
      <c r="AC13" s="11">
        <v>4</v>
      </c>
      <c r="AD13" s="11">
        <v>4</v>
      </c>
      <c r="AE13" s="11">
        <v>4</v>
      </c>
      <c r="AF13" s="11">
        <v>4</v>
      </c>
      <c r="AG13" s="11">
        <v>4</v>
      </c>
      <c r="AH13" s="11">
        <v>4</v>
      </c>
      <c r="AI13" s="11">
        <v>4</v>
      </c>
      <c r="AJ13" s="11">
        <v>4</v>
      </c>
      <c r="AK13" s="11">
        <v>4</v>
      </c>
      <c r="AL13" s="11">
        <v>4</v>
      </c>
      <c r="AM13" s="11">
        <v>4</v>
      </c>
      <c r="AN13" s="11">
        <v>4</v>
      </c>
    </row>
    <row r="14" spans="2:40" ht="18.75" x14ac:dyDescent="0.25">
      <c r="B14" s="53" t="s">
        <v>44</v>
      </c>
      <c r="C14" s="54"/>
      <c r="D14" s="54"/>
      <c r="E14" s="54"/>
      <c r="F14" s="54"/>
      <c r="G14" s="54"/>
      <c r="H14" s="54"/>
      <c r="I14" s="55"/>
      <c r="J14" s="13">
        <f>SUM(J10:J13)</f>
        <v>347680</v>
      </c>
      <c r="K14" s="14">
        <f>SUM(K10:K13)</f>
        <v>1680</v>
      </c>
      <c r="M14" s="15"/>
      <c r="N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2:40" ht="12" customHeight="1" x14ac:dyDescent="0.25">
      <c r="B15" s="29"/>
      <c r="C15" s="21"/>
      <c r="D15" s="21"/>
      <c r="E15" s="21"/>
      <c r="F15" s="22"/>
      <c r="G15" s="22"/>
      <c r="H15" s="22"/>
      <c r="I15" s="23"/>
      <c r="J15" s="24"/>
      <c r="K15" s="22"/>
      <c r="L15" s="25"/>
      <c r="M15" s="26"/>
      <c r="N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 spans="2:40" ht="27.75" customHeight="1" x14ac:dyDescent="0.25">
      <c r="B16" s="56" t="s">
        <v>51</v>
      </c>
      <c r="C16" s="7" t="s">
        <v>14</v>
      </c>
      <c r="D16" s="7" t="s">
        <v>27</v>
      </c>
      <c r="E16" s="7" t="s">
        <v>45</v>
      </c>
      <c r="F16" s="8" t="s">
        <v>16</v>
      </c>
      <c r="G16" s="27" t="s">
        <v>17</v>
      </c>
      <c r="H16" s="8" t="s">
        <v>13</v>
      </c>
      <c r="I16" s="19">
        <v>90</v>
      </c>
      <c r="J16" s="9">
        <f t="shared" ref="J16:J22" si="4">K16*I16</f>
        <v>93600</v>
      </c>
      <c r="K16" s="8">
        <f t="shared" ref="K16:K23" si="5">SUM(M16:AN16)</f>
        <v>1040</v>
      </c>
      <c r="M16" s="10">
        <v>40</v>
      </c>
      <c r="N16" s="10">
        <v>40</v>
      </c>
      <c r="P16" s="11">
        <v>40</v>
      </c>
      <c r="Q16" s="11">
        <v>40</v>
      </c>
      <c r="R16" s="11">
        <v>40</v>
      </c>
      <c r="S16" s="11">
        <v>40</v>
      </c>
      <c r="T16" s="11">
        <v>40</v>
      </c>
      <c r="U16" s="11">
        <v>40</v>
      </c>
      <c r="V16" s="11">
        <v>40</v>
      </c>
      <c r="W16" s="11">
        <v>40</v>
      </c>
      <c r="X16" s="11">
        <v>40</v>
      </c>
      <c r="Y16" s="11">
        <v>40</v>
      </c>
      <c r="Z16" s="11">
        <v>40</v>
      </c>
      <c r="AA16" s="11">
        <v>40</v>
      </c>
      <c r="AC16" s="11">
        <v>40</v>
      </c>
      <c r="AD16" s="11">
        <v>40</v>
      </c>
      <c r="AE16" s="11">
        <v>40</v>
      </c>
      <c r="AF16" s="11">
        <v>40</v>
      </c>
      <c r="AG16" s="11">
        <v>40</v>
      </c>
      <c r="AH16" s="11">
        <v>40</v>
      </c>
      <c r="AI16" s="11">
        <v>40</v>
      </c>
      <c r="AJ16" s="11">
        <v>40</v>
      </c>
      <c r="AK16" s="11">
        <v>40</v>
      </c>
      <c r="AL16" s="11">
        <v>40</v>
      </c>
      <c r="AM16" s="11">
        <v>40</v>
      </c>
      <c r="AN16" s="11">
        <v>40</v>
      </c>
    </row>
    <row r="17" spans="2:40" ht="27.75" customHeight="1" x14ac:dyDescent="0.25">
      <c r="B17" s="56"/>
      <c r="C17" s="7" t="s">
        <v>14</v>
      </c>
      <c r="D17" s="7" t="s">
        <v>27</v>
      </c>
      <c r="E17" s="7" t="s">
        <v>48</v>
      </c>
      <c r="F17" s="8" t="s">
        <v>16</v>
      </c>
      <c r="G17" s="27" t="s">
        <v>17</v>
      </c>
      <c r="H17" s="8" t="s">
        <v>13</v>
      </c>
      <c r="I17" s="19">
        <v>90</v>
      </c>
      <c r="J17" s="9">
        <f t="shared" ref="J17:J19" si="6">K17*I17</f>
        <v>93600</v>
      </c>
      <c r="K17" s="8">
        <f t="shared" si="5"/>
        <v>1040</v>
      </c>
      <c r="M17" s="10">
        <v>40</v>
      </c>
      <c r="N17" s="10">
        <v>40</v>
      </c>
      <c r="P17" s="11">
        <v>40</v>
      </c>
      <c r="Q17" s="11">
        <v>40</v>
      </c>
      <c r="R17" s="11">
        <v>40</v>
      </c>
      <c r="S17" s="11">
        <v>40</v>
      </c>
      <c r="T17" s="11">
        <v>40</v>
      </c>
      <c r="U17" s="11">
        <v>40</v>
      </c>
      <c r="V17" s="11">
        <v>40</v>
      </c>
      <c r="W17" s="11">
        <v>40</v>
      </c>
      <c r="X17" s="11">
        <v>40</v>
      </c>
      <c r="Y17" s="11">
        <v>40</v>
      </c>
      <c r="Z17" s="11">
        <v>40</v>
      </c>
      <c r="AA17" s="11">
        <v>40</v>
      </c>
      <c r="AC17" s="11">
        <v>40</v>
      </c>
      <c r="AD17" s="11">
        <v>40</v>
      </c>
      <c r="AE17" s="11">
        <v>40</v>
      </c>
      <c r="AF17" s="11">
        <v>40</v>
      </c>
      <c r="AG17" s="11">
        <v>40</v>
      </c>
      <c r="AH17" s="11">
        <v>40</v>
      </c>
      <c r="AI17" s="11">
        <v>40</v>
      </c>
      <c r="AJ17" s="11">
        <v>40</v>
      </c>
      <c r="AK17" s="11">
        <v>40</v>
      </c>
      <c r="AL17" s="11">
        <v>40</v>
      </c>
      <c r="AM17" s="11">
        <v>40</v>
      </c>
      <c r="AN17" s="11">
        <v>40</v>
      </c>
    </row>
    <row r="18" spans="2:40" ht="27.75" customHeight="1" x14ac:dyDescent="0.25">
      <c r="B18" s="56"/>
      <c r="C18" s="7" t="s">
        <v>14</v>
      </c>
      <c r="D18" s="7" t="s">
        <v>27</v>
      </c>
      <c r="E18" s="7" t="s">
        <v>48</v>
      </c>
      <c r="F18" s="8" t="s">
        <v>16</v>
      </c>
      <c r="G18" s="27" t="s">
        <v>17</v>
      </c>
      <c r="H18" s="8" t="s">
        <v>13</v>
      </c>
      <c r="I18" s="19">
        <v>90</v>
      </c>
      <c r="J18" s="9">
        <f t="shared" si="6"/>
        <v>86400</v>
      </c>
      <c r="K18" s="8">
        <f t="shared" si="5"/>
        <v>960</v>
      </c>
      <c r="M18" s="18"/>
      <c r="N18" s="18"/>
      <c r="P18" s="11">
        <v>40</v>
      </c>
      <c r="Q18" s="11">
        <v>40</v>
      </c>
      <c r="R18" s="11">
        <v>40</v>
      </c>
      <c r="S18" s="11">
        <v>40</v>
      </c>
      <c r="T18" s="11">
        <v>40</v>
      </c>
      <c r="U18" s="11">
        <v>40</v>
      </c>
      <c r="V18" s="11">
        <v>40</v>
      </c>
      <c r="W18" s="11">
        <v>40</v>
      </c>
      <c r="X18" s="11">
        <v>40</v>
      </c>
      <c r="Y18" s="11">
        <v>40</v>
      </c>
      <c r="Z18" s="11">
        <v>40</v>
      </c>
      <c r="AA18" s="11">
        <v>40</v>
      </c>
      <c r="AC18" s="11">
        <v>40</v>
      </c>
      <c r="AD18" s="11">
        <v>40</v>
      </c>
      <c r="AE18" s="11">
        <v>40</v>
      </c>
      <c r="AF18" s="11">
        <v>40</v>
      </c>
      <c r="AG18" s="11">
        <v>40</v>
      </c>
      <c r="AH18" s="11">
        <v>40</v>
      </c>
      <c r="AI18" s="11">
        <v>40</v>
      </c>
      <c r="AJ18" s="11">
        <v>40</v>
      </c>
      <c r="AK18" s="11">
        <v>40</v>
      </c>
      <c r="AL18" s="11">
        <v>40</v>
      </c>
      <c r="AM18" s="11">
        <v>40</v>
      </c>
      <c r="AN18" s="11">
        <v>40</v>
      </c>
    </row>
    <row r="19" spans="2:40" ht="27.75" customHeight="1" x14ac:dyDescent="0.25">
      <c r="B19" s="56"/>
      <c r="C19" s="7" t="s">
        <v>14</v>
      </c>
      <c r="D19" s="7" t="s">
        <v>27</v>
      </c>
      <c r="E19" s="7" t="s">
        <v>49</v>
      </c>
      <c r="F19" s="8" t="s">
        <v>16</v>
      </c>
      <c r="G19" s="27" t="s">
        <v>17</v>
      </c>
      <c r="H19" s="8" t="s">
        <v>13</v>
      </c>
      <c r="I19" s="19">
        <v>90</v>
      </c>
      <c r="J19" s="9">
        <f t="shared" si="6"/>
        <v>86400</v>
      </c>
      <c r="K19" s="8">
        <f t="shared" si="5"/>
        <v>960</v>
      </c>
      <c r="M19" s="18"/>
      <c r="N19" s="18"/>
      <c r="P19" s="11">
        <v>40</v>
      </c>
      <c r="Q19" s="11">
        <v>40</v>
      </c>
      <c r="R19" s="11">
        <v>40</v>
      </c>
      <c r="S19" s="11">
        <v>40</v>
      </c>
      <c r="T19" s="11">
        <v>40</v>
      </c>
      <c r="U19" s="11">
        <v>40</v>
      </c>
      <c r="V19" s="11">
        <v>40</v>
      </c>
      <c r="W19" s="11">
        <v>40</v>
      </c>
      <c r="X19" s="11">
        <v>40</v>
      </c>
      <c r="Y19" s="11">
        <v>40</v>
      </c>
      <c r="Z19" s="11">
        <v>40</v>
      </c>
      <c r="AA19" s="11">
        <v>40</v>
      </c>
      <c r="AC19" s="11">
        <v>40</v>
      </c>
      <c r="AD19" s="11">
        <v>40</v>
      </c>
      <c r="AE19" s="11">
        <v>40</v>
      </c>
      <c r="AF19" s="11">
        <v>40</v>
      </c>
      <c r="AG19" s="11">
        <v>40</v>
      </c>
      <c r="AH19" s="11">
        <v>40</v>
      </c>
      <c r="AI19" s="11">
        <v>40</v>
      </c>
      <c r="AJ19" s="11">
        <v>40</v>
      </c>
      <c r="AK19" s="11">
        <v>40</v>
      </c>
      <c r="AL19" s="11">
        <v>40</v>
      </c>
      <c r="AM19" s="11">
        <v>40</v>
      </c>
      <c r="AN19" s="11">
        <v>40</v>
      </c>
    </row>
    <row r="20" spans="2:40" ht="27.75" customHeight="1" x14ac:dyDescent="0.25">
      <c r="B20" s="56"/>
      <c r="C20" s="7" t="s">
        <v>14</v>
      </c>
      <c r="D20" s="7" t="s">
        <v>27</v>
      </c>
      <c r="E20" s="7" t="s">
        <v>50</v>
      </c>
      <c r="F20" s="8" t="s">
        <v>16</v>
      </c>
      <c r="G20" s="27" t="s">
        <v>17</v>
      </c>
      <c r="H20" s="8" t="s">
        <v>13</v>
      </c>
      <c r="I20" s="19">
        <v>90</v>
      </c>
      <c r="J20" s="9">
        <f t="shared" ref="J20" si="7">K20*I20</f>
        <v>86400</v>
      </c>
      <c r="K20" s="8">
        <f t="shared" si="5"/>
        <v>960</v>
      </c>
      <c r="M20" s="18"/>
      <c r="N20" s="18"/>
      <c r="P20" s="11">
        <v>40</v>
      </c>
      <c r="Q20" s="11">
        <v>40</v>
      </c>
      <c r="R20" s="11">
        <v>40</v>
      </c>
      <c r="S20" s="11">
        <v>40</v>
      </c>
      <c r="T20" s="11">
        <v>40</v>
      </c>
      <c r="U20" s="11">
        <v>40</v>
      </c>
      <c r="V20" s="11">
        <v>40</v>
      </c>
      <c r="W20" s="11">
        <v>40</v>
      </c>
      <c r="X20" s="11">
        <v>40</v>
      </c>
      <c r="Y20" s="11">
        <v>40</v>
      </c>
      <c r="Z20" s="11">
        <v>40</v>
      </c>
      <c r="AA20" s="11">
        <v>40</v>
      </c>
      <c r="AC20" s="11">
        <v>40</v>
      </c>
      <c r="AD20" s="11">
        <v>40</v>
      </c>
      <c r="AE20" s="11">
        <v>40</v>
      </c>
      <c r="AF20" s="11">
        <v>40</v>
      </c>
      <c r="AG20" s="11">
        <v>40</v>
      </c>
      <c r="AH20" s="11">
        <v>40</v>
      </c>
      <c r="AI20" s="11">
        <v>40</v>
      </c>
      <c r="AJ20" s="11">
        <v>40</v>
      </c>
      <c r="AK20" s="11">
        <v>40</v>
      </c>
      <c r="AL20" s="11">
        <v>40</v>
      </c>
      <c r="AM20" s="11">
        <v>40</v>
      </c>
      <c r="AN20" s="11">
        <v>40</v>
      </c>
    </row>
    <row r="21" spans="2:40" ht="27.75" customHeight="1" x14ac:dyDescent="0.25">
      <c r="B21" s="56"/>
      <c r="C21" s="7" t="s">
        <v>14</v>
      </c>
      <c r="D21" s="7" t="s">
        <v>27</v>
      </c>
      <c r="E21" s="7" t="s">
        <v>40</v>
      </c>
      <c r="F21" s="8" t="s">
        <v>16</v>
      </c>
      <c r="G21" s="27" t="s">
        <v>17</v>
      </c>
      <c r="H21" s="8" t="s">
        <v>13</v>
      </c>
      <c r="I21" s="19">
        <v>90</v>
      </c>
      <c r="J21" s="9">
        <f t="shared" si="4"/>
        <v>86400</v>
      </c>
      <c r="K21" s="8">
        <f t="shared" si="5"/>
        <v>960</v>
      </c>
      <c r="M21" s="18"/>
      <c r="N21" s="18"/>
      <c r="P21" s="11">
        <v>40</v>
      </c>
      <c r="Q21" s="11">
        <v>40</v>
      </c>
      <c r="R21" s="11">
        <v>40</v>
      </c>
      <c r="S21" s="11">
        <v>40</v>
      </c>
      <c r="T21" s="11">
        <v>40</v>
      </c>
      <c r="U21" s="11">
        <v>40</v>
      </c>
      <c r="V21" s="11">
        <v>40</v>
      </c>
      <c r="W21" s="11">
        <v>40</v>
      </c>
      <c r="X21" s="11">
        <v>40</v>
      </c>
      <c r="Y21" s="11">
        <v>40</v>
      </c>
      <c r="Z21" s="11">
        <v>40</v>
      </c>
      <c r="AA21" s="11">
        <v>40</v>
      </c>
      <c r="AC21" s="11">
        <v>40</v>
      </c>
      <c r="AD21" s="11">
        <v>40</v>
      </c>
      <c r="AE21" s="11">
        <v>40</v>
      </c>
      <c r="AF21" s="11">
        <v>40</v>
      </c>
      <c r="AG21" s="11">
        <v>40</v>
      </c>
      <c r="AH21" s="11">
        <v>40</v>
      </c>
      <c r="AI21" s="11">
        <v>40</v>
      </c>
      <c r="AJ21" s="11">
        <v>40</v>
      </c>
      <c r="AK21" s="11">
        <v>40</v>
      </c>
      <c r="AL21" s="11">
        <v>40</v>
      </c>
      <c r="AM21" s="11">
        <v>40</v>
      </c>
      <c r="AN21" s="11">
        <v>40</v>
      </c>
    </row>
    <row r="22" spans="2:40" ht="27.75" customHeight="1" x14ac:dyDescent="0.25">
      <c r="B22" s="56"/>
      <c r="C22" s="7" t="s">
        <v>21</v>
      </c>
      <c r="D22" s="7" t="s">
        <v>27</v>
      </c>
      <c r="E22" s="7" t="s">
        <v>28</v>
      </c>
      <c r="F22" s="8" t="s">
        <v>16</v>
      </c>
      <c r="G22" s="27" t="s">
        <v>17</v>
      </c>
      <c r="H22" s="8" t="s">
        <v>13</v>
      </c>
      <c r="I22" s="19">
        <v>90</v>
      </c>
      <c r="J22" s="9">
        <f t="shared" si="4"/>
        <v>17280</v>
      </c>
      <c r="K22" s="8">
        <f t="shared" si="5"/>
        <v>192</v>
      </c>
      <c r="M22" s="18"/>
      <c r="N22" s="18"/>
      <c r="P22" s="11">
        <v>8</v>
      </c>
      <c r="Q22" s="11">
        <v>8</v>
      </c>
      <c r="R22" s="11">
        <v>8</v>
      </c>
      <c r="S22" s="11">
        <v>8</v>
      </c>
      <c r="T22" s="11">
        <v>8</v>
      </c>
      <c r="U22" s="11">
        <v>8</v>
      </c>
      <c r="V22" s="11">
        <v>8</v>
      </c>
      <c r="W22" s="11">
        <v>8</v>
      </c>
      <c r="X22" s="11">
        <v>8</v>
      </c>
      <c r="Y22" s="11">
        <v>8</v>
      </c>
      <c r="Z22" s="11">
        <v>8</v>
      </c>
      <c r="AA22" s="11">
        <v>8</v>
      </c>
      <c r="AC22" s="11">
        <v>8</v>
      </c>
      <c r="AD22" s="11">
        <v>8</v>
      </c>
      <c r="AE22" s="11">
        <v>8</v>
      </c>
      <c r="AF22" s="11">
        <v>8</v>
      </c>
      <c r="AG22" s="11">
        <v>8</v>
      </c>
      <c r="AH22" s="11">
        <v>8</v>
      </c>
      <c r="AI22" s="11">
        <v>8</v>
      </c>
      <c r="AJ22" s="11">
        <v>8</v>
      </c>
      <c r="AK22" s="11">
        <v>8</v>
      </c>
      <c r="AL22" s="11">
        <v>8</v>
      </c>
      <c r="AM22" s="11">
        <v>8</v>
      </c>
      <c r="AN22" s="11">
        <v>8</v>
      </c>
    </row>
    <row r="23" spans="2:40" ht="27.75" customHeight="1" x14ac:dyDescent="0.25">
      <c r="B23" s="56"/>
      <c r="C23" s="7" t="s">
        <v>14</v>
      </c>
      <c r="D23" s="7" t="s">
        <v>27</v>
      </c>
      <c r="E23" s="7" t="s">
        <v>47</v>
      </c>
      <c r="F23" s="8" t="s">
        <v>16</v>
      </c>
      <c r="G23" s="27" t="s">
        <v>17</v>
      </c>
      <c r="H23" s="8" t="s">
        <v>13</v>
      </c>
      <c r="I23" s="19">
        <v>90</v>
      </c>
      <c r="J23" s="9">
        <f t="shared" ref="J23" si="8">K23*I23</f>
        <v>86400</v>
      </c>
      <c r="K23" s="8">
        <f t="shared" si="5"/>
        <v>960</v>
      </c>
      <c r="M23" s="18"/>
      <c r="N23" s="18"/>
      <c r="P23" s="11">
        <v>40</v>
      </c>
      <c r="Q23" s="11">
        <v>40</v>
      </c>
      <c r="R23" s="11">
        <v>40</v>
      </c>
      <c r="S23" s="11">
        <v>40</v>
      </c>
      <c r="T23" s="11">
        <v>40</v>
      </c>
      <c r="U23" s="11">
        <v>40</v>
      </c>
      <c r="V23" s="11">
        <v>40</v>
      </c>
      <c r="W23" s="11">
        <v>40</v>
      </c>
      <c r="X23" s="11">
        <v>40</v>
      </c>
      <c r="Y23" s="11">
        <v>40</v>
      </c>
      <c r="Z23" s="11">
        <v>40</v>
      </c>
      <c r="AA23" s="11">
        <v>40</v>
      </c>
      <c r="AC23" s="11">
        <v>40</v>
      </c>
      <c r="AD23" s="11">
        <v>40</v>
      </c>
      <c r="AE23" s="11">
        <v>40</v>
      </c>
      <c r="AF23" s="11">
        <v>40</v>
      </c>
      <c r="AG23" s="11">
        <v>40</v>
      </c>
      <c r="AH23" s="11">
        <v>40</v>
      </c>
      <c r="AI23" s="11">
        <v>40</v>
      </c>
      <c r="AJ23" s="11">
        <v>40</v>
      </c>
      <c r="AK23" s="11">
        <v>40</v>
      </c>
      <c r="AL23" s="11">
        <v>40</v>
      </c>
      <c r="AM23" s="11">
        <v>40</v>
      </c>
      <c r="AN23" s="11">
        <v>40</v>
      </c>
    </row>
    <row r="24" spans="2:40" ht="18.75" x14ac:dyDescent="0.25">
      <c r="B24" s="53" t="s">
        <v>51</v>
      </c>
      <c r="C24" s="54"/>
      <c r="D24" s="54"/>
      <c r="E24" s="54"/>
      <c r="F24" s="54"/>
      <c r="G24" s="54"/>
      <c r="H24" s="54"/>
      <c r="I24" s="55"/>
      <c r="J24" s="13">
        <f>SUM(J16:J23)</f>
        <v>636480</v>
      </c>
      <c r="K24" s="14">
        <f>SUM(K16:K23)</f>
        <v>7072</v>
      </c>
      <c r="M24" s="15"/>
      <c r="N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2:40" ht="12" customHeight="1" x14ac:dyDescent="0.25">
      <c r="B25" s="30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2:40" ht="27.75" customHeight="1" x14ac:dyDescent="0.25">
      <c r="B26" s="60" t="s">
        <v>29</v>
      </c>
      <c r="C26" s="7" t="s">
        <v>14</v>
      </c>
      <c r="D26" s="7" t="s">
        <v>27</v>
      </c>
      <c r="E26" s="7" t="s">
        <v>52</v>
      </c>
      <c r="F26" s="8" t="s">
        <v>16</v>
      </c>
      <c r="G26" s="27" t="s">
        <v>17</v>
      </c>
      <c r="H26" s="8" t="s">
        <v>13</v>
      </c>
      <c r="I26" s="19">
        <v>90</v>
      </c>
      <c r="J26" s="9">
        <f t="shared" ref="J26:J27" si="9">K26*I26</f>
        <v>28080</v>
      </c>
      <c r="K26" s="8">
        <f>SUM(M26:AN26)</f>
        <v>312</v>
      </c>
      <c r="M26" s="10">
        <v>12</v>
      </c>
      <c r="N26" s="10">
        <v>12</v>
      </c>
      <c r="P26" s="11">
        <v>12</v>
      </c>
      <c r="Q26" s="11">
        <v>12</v>
      </c>
      <c r="R26" s="11">
        <v>12</v>
      </c>
      <c r="S26" s="11">
        <v>12</v>
      </c>
      <c r="T26" s="11">
        <v>12</v>
      </c>
      <c r="U26" s="11">
        <v>12</v>
      </c>
      <c r="V26" s="11">
        <v>12</v>
      </c>
      <c r="W26" s="11">
        <v>12</v>
      </c>
      <c r="X26" s="11">
        <v>12</v>
      </c>
      <c r="Y26" s="11">
        <v>12</v>
      </c>
      <c r="Z26" s="11">
        <v>12</v>
      </c>
      <c r="AA26" s="11">
        <v>12</v>
      </c>
      <c r="AC26" s="11">
        <v>12</v>
      </c>
      <c r="AD26" s="11">
        <v>12</v>
      </c>
      <c r="AE26" s="11">
        <v>12</v>
      </c>
      <c r="AF26" s="11">
        <v>12</v>
      </c>
      <c r="AG26" s="11">
        <v>12</v>
      </c>
      <c r="AH26" s="11">
        <v>12</v>
      </c>
      <c r="AI26" s="11">
        <v>12</v>
      </c>
      <c r="AJ26" s="11">
        <v>12</v>
      </c>
      <c r="AK26" s="11">
        <v>12</v>
      </c>
      <c r="AL26" s="11">
        <v>12</v>
      </c>
      <c r="AM26" s="11">
        <v>12</v>
      </c>
      <c r="AN26" s="11">
        <v>12</v>
      </c>
    </row>
    <row r="27" spans="2:40" ht="27.75" customHeight="1" x14ac:dyDescent="0.25">
      <c r="B27" s="61"/>
      <c r="C27" s="7" t="s">
        <v>14</v>
      </c>
      <c r="D27" s="7" t="s">
        <v>27</v>
      </c>
      <c r="E27" s="7" t="s">
        <v>30</v>
      </c>
      <c r="F27" s="8" t="s">
        <v>16</v>
      </c>
      <c r="G27" s="27" t="s">
        <v>17</v>
      </c>
      <c r="H27" s="8" t="s">
        <v>13</v>
      </c>
      <c r="I27" s="19">
        <v>90</v>
      </c>
      <c r="J27" s="9">
        <f t="shared" si="9"/>
        <v>25920</v>
      </c>
      <c r="K27" s="8">
        <f>SUM(M27:AN27)</f>
        <v>288</v>
      </c>
      <c r="M27" s="18"/>
      <c r="N27" s="18"/>
      <c r="P27" s="11">
        <v>12</v>
      </c>
      <c r="Q27" s="11">
        <v>12</v>
      </c>
      <c r="R27" s="11">
        <v>12</v>
      </c>
      <c r="S27" s="11">
        <v>12</v>
      </c>
      <c r="T27" s="11">
        <v>12</v>
      </c>
      <c r="U27" s="11">
        <v>12</v>
      </c>
      <c r="V27" s="11">
        <v>12</v>
      </c>
      <c r="W27" s="11">
        <v>12</v>
      </c>
      <c r="X27" s="11">
        <v>12</v>
      </c>
      <c r="Y27" s="11">
        <v>12</v>
      </c>
      <c r="Z27" s="11">
        <v>12</v>
      </c>
      <c r="AA27" s="11">
        <v>12</v>
      </c>
      <c r="AC27" s="11">
        <v>12</v>
      </c>
      <c r="AD27" s="11">
        <v>12</v>
      </c>
      <c r="AE27" s="11">
        <v>12</v>
      </c>
      <c r="AF27" s="11">
        <v>12</v>
      </c>
      <c r="AG27" s="11">
        <v>12</v>
      </c>
      <c r="AH27" s="11">
        <v>12</v>
      </c>
      <c r="AI27" s="11">
        <v>12</v>
      </c>
      <c r="AJ27" s="11">
        <v>12</v>
      </c>
      <c r="AK27" s="11">
        <v>12</v>
      </c>
      <c r="AL27" s="11">
        <v>12</v>
      </c>
      <c r="AM27" s="11">
        <v>12</v>
      </c>
      <c r="AN27" s="11">
        <v>12</v>
      </c>
    </row>
    <row r="28" spans="2:40" ht="18.75" x14ac:dyDescent="0.25">
      <c r="B28" s="12"/>
      <c r="C28" s="12"/>
      <c r="D28" s="12"/>
      <c r="E28" s="12"/>
      <c r="F28" s="12"/>
      <c r="G28" s="12"/>
      <c r="H28" s="12"/>
      <c r="I28" s="12"/>
      <c r="J28" s="13">
        <f>SUM(J26:J27)</f>
        <v>54000</v>
      </c>
      <c r="K28" s="14">
        <f>SUM(K26:K27)</f>
        <v>600</v>
      </c>
      <c r="M28" s="15"/>
      <c r="N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2:40" ht="12" customHeight="1" x14ac:dyDescent="0.25">
      <c r="B29" s="30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2:40" ht="26.25" customHeight="1" x14ac:dyDescent="0.25">
      <c r="B30" s="46" t="s">
        <v>31</v>
      </c>
      <c r="C30" s="20" t="s">
        <v>18</v>
      </c>
      <c r="D30" s="7" t="s">
        <v>25</v>
      </c>
      <c r="E30" s="7" t="s">
        <v>19</v>
      </c>
      <c r="F30" s="8" t="s">
        <v>11</v>
      </c>
      <c r="G30" s="8" t="s">
        <v>12</v>
      </c>
      <c r="H30" s="8" t="s">
        <v>13</v>
      </c>
      <c r="I30" s="19">
        <v>460</v>
      </c>
      <c r="J30" s="9">
        <f t="shared" ref="J30:J32" si="10">K30*I30</f>
        <v>47840</v>
      </c>
      <c r="K30" s="8">
        <f>SUM(M30:AN30)</f>
        <v>104</v>
      </c>
      <c r="M30" s="10">
        <v>4</v>
      </c>
      <c r="N30" s="10">
        <v>4</v>
      </c>
      <c r="P30" s="11">
        <v>4</v>
      </c>
      <c r="Q30" s="11">
        <v>4</v>
      </c>
      <c r="R30" s="11">
        <v>4</v>
      </c>
      <c r="S30" s="11">
        <v>4</v>
      </c>
      <c r="T30" s="11">
        <v>4</v>
      </c>
      <c r="U30" s="11">
        <v>4</v>
      </c>
      <c r="V30" s="11">
        <v>4</v>
      </c>
      <c r="W30" s="11">
        <v>4</v>
      </c>
      <c r="X30" s="11">
        <v>4</v>
      </c>
      <c r="Y30" s="11">
        <v>4</v>
      </c>
      <c r="Z30" s="11">
        <v>4</v>
      </c>
      <c r="AA30" s="11">
        <v>4</v>
      </c>
      <c r="AC30" s="11">
        <v>4</v>
      </c>
      <c r="AD30" s="11">
        <v>4</v>
      </c>
      <c r="AE30" s="11">
        <v>4</v>
      </c>
      <c r="AF30" s="11">
        <v>4</v>
      </c>
      <c r="AG30" s="11">
        <v>4</v>
      </c>
      <c r="AH30" s="11">
        <v>4</v>
      </c>
      <c r="AI30" s="11">
        <v>4</v>
      </c>
      <c r="AJ30" s="11">
        <v>4</v>
      </c>
      <c r="AK30" s="11">
        <v>4</v>
      </c>
      <c r="AL30" s="11">
        <v>4</v>
      </c>
      <c r="AM30" s="11">
        <v>4</v>
      </c>
      <c r="AN30" s="11">
        <v>4</v>
      </c>
    </row>
    <row r="31" spans="2:40" ht="26.25" customHeight="1" x14ac:dyDescent="0.25">
      <c r="B31" s="46"/>
      <c r="C31" s="7" t="s">
        <v>32</v>
      </c>
      <c r="D31" s="7" t="s">
        <v>25</v>
      </c>
      <c r="E31" s="7" t="s">
        <v>20</v>
      </c>
      <c r="F31" s="8" t="s">
        <v>11</v>
      </c>
      <c r="G31" s="8" t="s">
        <v>12</v>
      </c>
      <c r="H31" s="8" t="s">
        <v>13</v>
      </c>
      <c r="I31" s="19">
        <v>370</v>
      </c>
      <c r="J31" s="9">
        <f t="shared" si="10"/>
        <v>384800</v>
      </c>
      <c r="K31" s="8">
        <f>SUM(M31:AN31)</f>
        <v>1040</v>
      </c>
      <c r="M31" s="10">
        <v>40</v>
      </c>
      <c r="N31" s="10">
        <v>40</v>
      </c>
      <c r="P31" s="11">
        <v>40</v>
      </c>
      <c r="Q31" s="11">
        <v>40</v>
      </c>
      <c r="R31" s="11">
        <v>40</v>
      </c>
      <c r="S31" s="11">
        <v>40</v>
      </c>
      <c r="T31" s="11">
        <v>40</v>
      </c>
      <c r="U31" s="11">
        <v>40</v>
      </c>
      <c r="V31" s="11">
        <v>40</v>
      </c>
      <c r="W31" s="11">
        <v>40</v>
      </c>
      <c r="X31" s="11">
        <v>40</v>
      </c>
      <c r="Y31" s="11">
        <v>40</v>
      </c>
      <c r="Z31" s="11">
        <v>40</v>
      </c>
      <c r="AA31" s="11">
        <v>40</v>
      </c>
      <c r="AC31" s="11">
        <v>40</v>
      </c>
      <c r="AD31" s="11">
        <v>40</v>
      </c>
      <c r="AE31" s="11">
        <v>40</v>
      </c>
      <c r="AF31" s="11">
        <v>40</v>
      </c>
      <c r="AG31" s="11">
        <v>40</v>
      </c>
      <c r="AH31" s="11">
        <v>40</v>
      </c>
      <c r="AI31" s="11">
        <v>40</v>
      </c>
      <c r="AJ31" s="11">
        <v>40</v>
      </c>
      <c r="AK31" s="11">
        <v>40</v>
      </c>
      <c r="AL31" s="11">
        <v>40</v>
      </c>
      <c r="AM31" s="11">
        <v>40</v>
      </c>
      <c r="AN31" s="11">
        <v>40</v>
      </c>
    </row>
    <row r="32" spans="2:40" ht="26.25" customHeight="1" x14ac:dyDescent="0.25">
      <c r="B32" s="46"/>
      <c r="C32" s="7" t="s">
        <v>33</v>
      </c>
      <c r="D32" s="7" t="s">
        <v>27</v>
      </c>
      <c r="E32" s="7" t="s">
        <v>34</v>
      </c>
      <c r="F32" s="8" t="s">
        <v>16</v>
      </c>
      <c r="G32" s="27" t="s">
        <v>17</v>
      </c>
      <c r="H32" s="8" t="s">
        <v>13</v>
      </c>
      <c r="I32" s="19">
        <v>90</v>
      </c>
      <c r="J32" s="9">
        <f t="shared" si="10"/>
        <v>93600</v>
      </c>
      <c r="K32" s="8">
        <f>SUM(M32:AN32)</f>
        <v>1040</v>
      </c>
      <c r="M32" s="10">
        <v>40</v>
      </c>
      <c r="N32" s="10">
        <v>40</v>
      </c>
      <c r="P32" s="11">
        <v>40</v>
      </c>
      <c r="Q32" s="11">
        <v>40</v>
      </c>
      <c r="R32" s="11">
        <v>40</v>
      </c>
      <c r="S32" s="11">
        <v>40</v>
      </c>
      <c r="T32" s="11">
        <v>40</v>
      </c>
      <c r="U32" s="11">
        <v>40</v>
      </c>
      <c r="V32" s="11">
        <v>40</v>
      </c>
      <c r="W32" s="11">
        <v>40</v>
      </c>
      <c r="X32" s="11">
        <v>40</v>
      </c>
      <c r="Y32" s="11">
        <v>40</v>
      </c>
      <c r="Z32" s="11">
        <v>40</v>
      </c>
      <c r="AA32" s="11">
        <v>40</v>
      </c>
      <c r="AC32" s="11">
        <v>40</v>
      </c>
      <c r="AD32" s="11">
        <v>40</v>
      </c>
      <c r="AE32" s="11">
        <v>40</v>
      </c>
      <c r="AF32" s="11">
        <v>40</v>
      </c>
      <c r="AG32" s="11">
        <v>40</v>
      </c>
      <c r="AH32" s="11">
        <v>40</v>
      </c>
      <c r="AI32" s="11">
        <v>40</v>
      </c>
      <c r="AJ32" s="11">
        <v>40</v>
      </c>
      <c r="AK32" s="11">
        <v>40</v>
      </c>
      <c r="AL32" s="11">
        <v>40</v>
      </c>
      <c r="AM32" s="11">
        <v>40</v>
      </c>
      <c r="AN32" s="11">
        <v>40</v>
      </c>
    </row>
    <row r="33" spans="1:40" ht="18.75" x14ac:dyDescent="0.25">
      <c r="B33" s="47" t="s">
        <v>22</v>
      </c>
      <c r="C33" s="47"/>
      <c r="D33" s="47"/>
      <c r="E33" s="47"/>
      <c r="F33" s="47"/>
      <c r="G33" s="47"/>
      <c r="H33" s="47"/>
      <c r="I33" s="12"/>
      <c r="J33" s="13">
        <f>SUM(J30:J32)</f>
        <v>526240</v>
      </c>
      <c r="K33" s="14">
        <f>SUM(K30:K32)</f>
        <v>2184</v>
      </c>
      <c r="M33" s="15"/>
      <c r="N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18.75" x14ac:dyDescent="0.25">
      <c r="A34" s="31"/>
      <c r="B34" s="32"/>
      <c r="C34" s="31"/>
      <c r="D34" s="31"/>
      <c r="E34" s="31"/>
      <c r="F34" s="31"/>
      <c r="G34" s="31"/>
      <c r="H34" s="31"/>
      <c r="I34" s="33"/>
      <c r="J34" s="34"/>
      <c r="L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B34" s="15"/>
      <c r="AC34" s="15"/>
      <c r="AD34" s="15"/>
      <c r="AE34" s="15"/>
      <c r="AF34" s="15"/>
      <c r="AG34" s="15"/>
      <c r="AI34" s="15"/>
      <c r="AJ34" s="15"/>
      <c r="AK34" s="15"/>
      <c r="AL34" s="15"/>
      <c r="AM34" s="15"/>
    </row>
    <row r="35" spans="1:40" ht="18.75" x14ac:dyDescent="0.25">
      <c r="B35" s="60" t="s">
        <v>37</v>
      </c>
      <c r="C35" s="7" t="s">
        <v>14</v>
      </c>
      <c r="D35" s="7" t="s">
        <v>27</v>
      </c>
      <c r="E35" s="7" t="s">
        <v>38</v>
      </c>
      <c r="F35" s="8" t="s">
        <v>11</v>
      </c>
      <c r="G35" s="27" t="s">
        <v>17</v>
      </c>
      <c r="H35" s="8" t="s">
        <v>13</v>
      </c>
      <c r="I35" s="19">
        <v>90</v>
      </c>
      <c r="J35" s="9">
        <f>K35*I35</f>
        <v>9000</v>
      </c>
      <c r="K35" s="8">
        <f>SUM(M35:AN35)</f>
        <v>100</v>
      </c>
      <c r="M35" s="18"/>
      <c r="N35" s="18"/>
      <c r="P35" s="11">
        <v>4</v>
      </c>
      <c r="Q35" s="11">
        <v>4</v>
      </c>
      <c r="R35" s="11">
        <v>4</v>
      </c>
      <c r="S35" s="11">
        <v>4</v>
      </c>
      <c r="T35" s="11">
        <v>4</v>
      </c>
      <c r="U35" s="11">
        <v>4</v>
      </c>
      <c r="V35" s="11">
        <v>4</v>
      </c>
      <c r="W35" s="11">
        <v>4</v>
      </c>
      <c r="X35" s="11">
        <v>4</v>
      </c>
      <c r="Y35" s="11">
        <v>4</v>
      </c>
      <c r="Z35" s="11">
        <v>4</v>
      </c>
      <c r="AA35" s="11">
        <v>4</v>
      </c>
      <c r="AB35" s="11">
        <v>4</v>
      </c>
      <c r="AC35" s="11">
        <v>4</v>
      </c>
      <c r="AD35" s="11">
        <v>4</v>
      </c>
      <c r="AE35" s="11">
        <v>4</v>
      </c>
      <c r="AF35" s="11">
        <v>4</v>
      </c>
      <c r="AG35" s="11">
        <v>4</v>
      </c>
      <c r="AH35" s="11">
        <v>4</v>
      </c>
      <c r="AI35" s="11">
        <v>4</v>
      </c>
      <c r="AJ35" s="11">
        <v>4</v>
      </c>
      <c r="AK35" s="11">
        <v>4</v>
      </c>
      <c r="AL35" s="11">
        <v>4</v>
      </c>
      <c r="AM35" s="11">
        <v>4</v>
      </c>
      <c r="AN35" s="11">
        <v>4</v>
      </c>
    </row>
    <row r="36" spans="1:40" ht="18.75" x14ac:dyDescent="0.25">
      <c r="B36" s="61"/>
      <c r="C36" s="7" t="s">
        <v>39</v>
      </c>
      <c r="D36" s="7" t="s">
        <v>26</v>
      </c>
      <c r="E36" s="7" t="s">
        <v>39</v>
      </c>
      <c r="F36" s="8" t="s">
        <v>11</v>
      </c>
      <c r="G36" s="8" t="s">
        <v>12</v>
      </c>
      <c r="H36" s="8" t="s">
        <v>13</v>
      </c>
      <c r="I36" s="19">
        <v>445</v>
      </c>
      <c r="J36" s="9">
        <f>K36*I36</f>
        <v>51620</v>
      </c>
      <c r="K36" s="8">
        <f>SUM(M36:AN36)</f>
        <v>116</v>
      </c>
      <c r="M36" s="10">
        <v>8</v>
      </c>
      <c r="N36" s="10">
        <v>8</v>
      </c>
      <c r="P36" s="11">
        <v>4</v>
      </c>
      <c r="Q36" s="11">
        <v>4</v>
      </c>
      <c r="R36" s="11">
        <v>4</v>
      </c>
      <c r="S36" s="11">
        <v>4</v>
      </c>
      <c r="T36" s="11">
        <v>4</v>
      </c>
      <c r="U36" s="11">
        <v>4</v>
      </c>
      <c r="V36" s="11">
        <v>4</v>
      </c>
      <c r="W36" s="11">
        <v>4</v>
      </c>
      <c r="X36" s="11">
        <v>4</v>
      </c>
      <c r="Y36" s="11">
        <v>4</v>
      </c>
      <c r="Z36" s="11">
        <v>4</v>
      </c>
      <c r="AA36" s="11">
        <v>4</v>
      </c>
      <c r="AB36" s="11">
        <v>4</v>
      </c>
      <c r="AC36" s="11">
        <v>4</v>
      </c>
      <c r="AD36" s="11">
        <v>4</v>
      </c>
      <c r="AE36" s="11">
        <v>4</v>
      </c>
      <c r="AF36" s="11">
        <v>4</v>
      </c>
      <c r="AG36" s="11">
        <v>4</v>
      </c>
      <c r="AH36" s="11">
        <v>4</v>
      </c>
      <c r="AI36" s="11">
        <v>4</v>
      </c>
      <c r="AJ36" s="11">
        <v>4</v>
      </c>
      <c r="AK36" s="11">
        <v>4</v>
      </c>
      <c r="AL36" s="11">
        <v>4</v>
      </c>
      <c r="AM36" s="11">
        <v>4</v>
      </c>
      <c r="AN36" s="11">
        <v>4</v>
      </c>
    </row>
    <row r="37" spans="1:40" ht="18.75" x14ac:dyDescent="0.25">
      <c r="B37" s="47" t="s">
        <v>22</v>
      </c>
      <c r="C37" s="47"/>
      <c r="D37" s="47"/>
      <c r="E37" s="47"/>
      <c r="F37" s="47"/>
      <c r="G37" s="47"/>
      <c r="H37" s="47"/>
      <c r="I37" s="12"/>
      <c r="J37" s="13">
        <f>SUM(J35:J36)</f>
        <v>60620</v>
      </c>
      <c r="K37" s="14">
        <f>SUM(K35:K36)</f>
        <v>216</v>
      </c>
      <c r="M37" s="16"/>
      <c r="N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spans="1:40" ht="18.75" x14ac:dyDescent="0.25">
      <c r="A38" s="31"/>
      <c r="B38" s="32"/>
      <c r="C38" s="31"/>
      <c r="D38" s="31"/>
      <c r="E38" s="31"/>
      <c r="F38" s="31"/>
      <c r="G38" s="31"/>
      <c r="H38" s="31"/>
      <c r="I38" s="33"/>
      <c r="J38" s="34"/>
      <c r="L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B38" s="15"/>
      <c r="AC38" s="15"/>
      <c r="AD38" s="15"/>
      <c r="AE38" s="15"/>
      <c r="AF38" s="15"/>
      <c r="AG38" s="15"/>
      <c r="AI38" s="15"/>
      <c r="AJ38" s="15"/>
      <c r="AK38" s="15"/>
      <c r="AL38" s="15"/>
      <c r="AM38" s="15"/>
    </row>
    <row r="39" spans="1:40" ht="18.75" customHeight="1" x14ac:dyDescent="0.25">
      <c r="B39" s="60" t="s">
        <v>55</v>
      </c>
      <c r="C39" s="7" t="s">
        <v>61</v>
      </c>
      <c r="D39" s="7" t="s">
        <v>57</v>
      </c>
      <c r="E39" s="7" t="s">
        <v>56</v>
      </c>
      <c r="F39" s="8" t="s">
        <v>11</v>
      </c>
      <c r="G39" s="8" t="s">
        <v>12</v>
      </c>
      <c r="H39" s="8" t="s">
        <v>13</v>
      </c>
      <c r="I39" s="19">
        <v>490</v>
      </c>
      <c r="J39" s="9">
        <f>K39*I39</f>
        <v>103880</v>
      </c>
      <c r="K39" s="8">
        <f>SUM(M39:AN39)</f>
        <v>212</v>
      </c>
      <c r="M39" s="10">
        <v>10</v>
      </c>
      <c r="N39" s="10">
        <v>10</v>
      </c>
      <c r="P39" s="11">
        <v>8</v>
      </c>
      <c r="Q39" s="11">
        <v>8</v>
      </c>
      <c r="R39" s="11">
        <v>8</v>
      </c>
      <c r="S39" s="11">
        <v>8</v>
      </c>
      <c r="T39" s="11">
        <v>8</v>
      </c>
      <c r="U39" s="11">
        <v>8</v>
      </c>
      <c r="V39" s="11">
        <v>8</v>
      </c>
      <c r="W39" s="11">
        <v>8</v>
      </c>
      <c r="X39" s="11">
        <v>8</v>
      </c>
      <c r="Y39" s="11">
        <v>8</v>
      </c>
      <c r="Z39" s="11">
        <v>8</v>
      </c>
      <c r="AA39" s="11">
        <v>8</v>
      </c>
      <c r="AC39" s="11">
        <v>8</v>
      </c>
      <c r="AD39" s="11">
        <v>8</v>
      </c>
      <c r="AE39" s="11">
        <v>8</v>
      </c>
      <c r="AF39" s="11">
        <v>8</v>
      </c>
      <c r="AG39" s="11">
        <v>8</v>
      </c>
      <c r="AH39" s="11">
        <v>8</v>
      </c>
      <c r="AI39" s="11">
        <v>8</v>
      </c>
      <c r="AJ39" s="11">
        <v>8</v>
      </c>
      <c r="AK39" s="11">
        <v>8</v>
      </c>
      <c r="AL39" s="11">
        <v>8</v>
      </c>
      <c r="AM39" s="11">
        <v>8</v>
      </c>
      <c r="AN39" s="11">
        <v>8</v>
      </c>
    </row>
    <row r="40" spans="1:40" ht="18.75" x14ac:dyDescent="0.25">
      <c r="B40" s="56"/>
      <c r="C40" s="7" t="s">
        <v>59</v>
      </c>
      <c r="D40" s="7" t="s">
        <v>57</v>
      </c>
      <c r="E40" s="7" t="s">
        <v>60</v>
      </c>
      <c r="F40" s="8" t="s">
        <v>11</v>
      </c>
      <c r="G40" s="8" t="s">
        <v>12</v>
      </c>
      <c r="H40" s="8" t="s">
        <v>13</v>
      </c>
      <c r="I40" s="19">
        <v>365</v>
      </c>
      <c r="J40" s="9">
        <f>K40*I40</f>
        <v>204400</v>
      </c>
      <c r="K40" s="8">
        <f>SUM(M40:AN40)</f>
        <v>560</v>
      </c>
      <c r="M40" s="10">
        <v>40</v>
      </c>
      <c r="N40" s="10">
        <v>40</v>
      </c>
      <c r="P40" s="11">
        <v>20</v>
      </c>
      <c r="Q40" s="11">
        <v>20</v>
      </c>
      <c r="R40" s="11">
        <v>20</v>
      </c>
      <c r="S40" s="11">
        <v>20</v>
      </c>
      <c r="T40" s="11">
        <v>20</v>
      </c>
      <c r="U40" s="11">
        <v>20</v>
      </c>
      <c r="V40" s="11">
        <v>20</v>
      </c>
      <c r="W40" s="11">
        <v>20</v>
      </c>
      <c r="X40" s="11">
        <v>20</v>
      </c>
      <c r="Y40" s="11">
        <v>20</v>
      </c>
      <c r="Z40" s="11">
        <v>20</v>
      </c>
      <c r="AA40" s="11">
        <v>20</v>
      </c>
      <c r="AC40" s="11">
        <v>20</v>
      </c>
      <c r="AD40" s="11">
        <v>20</v>
      </c>
      <c r="AE40" s="11">
        <v>20</v>
      </c>
      <c r="AF40" s="11">
        <v>20</v>
      </c>
      <c r="AG40" s="11">
        <v>20</v>
      </c>
      <c r="AH40" s="11">
        <v>20</v>
      </c>
      <c r="AI40" s="11">
        <v>20</v>
      </c>
      <c r="AJ40" s="11">
        <v>20</v>
      </c>
      <c r="AK40" s="11">
        <v>20</v>
      </c>
      <c r="AL40" s="11">
        <v>20</v>
      </c>
      <c r="AM40" s="11">
        <v>20</v>
      </c>
      <c r="AN40" s="11">
        <v>20</v>
      </c>
    </row>
    <row r="41" spans="1:40" ht="18.75" x14ac:dyDescent="0.25">
      <c r="B41" s="61"/>
      <c r="C41" s="7" t="s">
        <v>14</v>
      </c>
      <c r="D41" s="7" t="s">
        <v>57</v>
      </c>
      <c r="E41" s="7" t="s">
        <v>58</v>
      </c>
      <c r="F41" s="8" t="s">
        <v>11</v>
      </c>
      <c r="G41" s="8" t="s">
        <v>12</v>
      </c>
      <c r="H41" s="8" t="s">
        <v>13</v>
      </c>
      <c r="I41" s="19">
        <v>300</v>
      </c>
      <c r="J41" s="9">
        <f>K41*I41</f>
        <v>144000</v>
      </c>
      <c r="K41" s="8">
        <f>SUM(M41:AN41)</f>
        <v>480</v>
      </c>
      <c r="M41" s="18"/>
      <c r="N41" s="18"/>
      <c r="P41" s="11">
        <v>20</v>
      </c>
      <c r="Q41" s="11">
        <v>20</v>
      </c>
      <c r="R41" s="11">
        <v>20</v>
      </c>
      <c r="S41" s="11">
        <v>20</v>
      </c>
      <c r="T41" s="11">
        <v>20</v>
      </c>
      <c r="U41" s="11">
        <v>20</v>
      </c>
      <c r="V41" s="11">
        <v>20</v>
      </c>
      <c r="W41" s="11">
        <v>20</v>
      </c>
      <c r="X41" s="11">
        <v>20</v>
      </c>
      <c r="Y41" s="11">
        <v>20</v>
      </c>
      <c r="Z41" s="11">
        <v>20</v>
      </c>
      <c r="AA41" s="11">
        <v>20</v>
      </c>
      <c r="AC41" s="11">
        <v>20</v>
      </c>
      <c r="AD41" s="11">
        <v>20</v>
      </c>
      <c r="AE41" s="11">
        <v>20</v>
      </c>
      <c r="AF41" s="11">
        <v>20</v>
      </c>
      <c r="AG41" s="11">
        <v>20</v>
      </c>
      <c r="AH41" s="11">
        <v>20</v>
      </c>
      <c r="AI41" s="11">
        <v>20</v>
      </c>
      <c r="AJ41" s="11">
        <v>20</v>
      </c>
      <c r="AK41" s="11">
        <v>20</v>
      </c>
      <c r="AL41" s="11">
        <v>20</v>
      </c>
      <c r="AM41" s="11">
        <v>20</v>
      </c>
      <c r="AN41" s="11">
        <v>20</v>
      </c>
    </row>
    <row r="42" spans="1:40" ht="18.75" x14ac:dyDescent="0.25">
      <c r="B42" s="47" t="s">
        <v>22</v>
      </c>
      <c r="C42" s="47"/>
      <c r="D42" s="47"/>
      <c r="E42" s="47"/>
      <c r="F42" s="47"/>
      <c r="G42" s="47"/>
      <c r="H42" s="47"/>
      <c r="I42" s="12"/>
      <c r="J42" s="13">
        <f>SUM(J39:J41)</f>
        <v>452280</v>
      </c>
      <c r="K42" s="14">
        <f>SUM(K39:K41)</f>
        <v>1252</v>
      </c>
      <c r="M42" s="16"/>
      <c r="N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spans="1:40" ht="18.75" x14ac:dyDescent="0.25">
      <c r="A43" s="31"/>
      <c r="B43" s="35"/>
      <c r="C43" s="31"/>
      <c r="D43" s="31"/>
      <c r="E43" s="31"/>
      <c r="F43" s="31"/>
      <c r="G43" s="31"/>
      <c r="H43" s="31"/>
      <c r="I43" s="36"/>
      <c r="J43" s="34"/>
      <c r="L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B43" s="15"/>
      <c r="AC43" s="15"/>
      <c r="AD43" s="15"/>
      <c r="AE43" s="15"/>
      <c r="AF43" s="15"/>
      <c r="AG43" s="15"/>
      <c r="AI43" s="15"/>
      <c r="AJ43" s="15"/>
      <c r="AK43" s="15"/>
      <c r="AL43" s="15"/>
      <c r="AM43" s="15"/>
    </row>
    <row r="44" spans="1:40" ht="18.75" x14ac:dyDescent="0.25">
      <c r="B44" s="60" t="s">
        <v>62</v>
      </c>
      <c r="C44" s="7" t="s">
        <v>39</v>
      </c>
      <c r="D44" s="7" t="s">
        <v>26</v>
      </c>
      <c r="E44" s="7" t="s">
        <v>64</v>
      </c>
      <c r="F44" s="8" t="s">
        <v>11</v>
      </c>
      <c r="G44" s="8" t="s">
        <v>12</v>
      </c>
      <c r="H44" s="8" t="s">
        <v>13</v>
      </c>
      <c r="I44" s="19">
        <v>460.58</v>
      </c>
      <c r="J44" s="9">
        <f>K44*I44</f>
        <v>119750.8</v>
      </c>
      <c r="K44" s="8">
        <f>SUM(M44:AN44)</f>
        <v>260</v>
      </c>
      <c r="M44" s="10">
        <v>10</v>
      </c>
      <c r="N44" s="10">
        <v>10</v>
      </c>
      <c r="P44" s="11">
        <v>20</v>
      </c>
      <c r="Q44" s="11">
        <v>20</v>
      </c>
      <c r="R44" s="11">
        <v>20</v>
      </c>
      <c r="S44" s="11">
        <v>20</v>
      </c>
      <c r="T44" s="11">
        <v>20</v>
      </c>
      <c r="U44" s="11">
        <v>20</v>
      </c>
      <c r="V44" s="11">
        <v>20</v>
      </c>
      <c r="W44" s="11">
        <v>20</v>
      </c>
      <c r="X44" s="11">
        <v>20</v>
      </c>
      <c r="Y44" s="11">
        <v>20</v>
      </c>
      <c r="Z44" s="11">
        <v>20</v>
      </c>
      <c r="AA44" s="11">
        <v>20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spans="1:40" ht="18.75" x14ac:dyDescent="0.25">
      <c r="B45" s="56"/>
      <c r="C45" s="7" t="s">
        <v>39</v>
      </c>
      <c r="D45" s="7" t="s">
        <v>26</v>
      </c>
      <c r="E45" s="7" t="s">
        <v>65</v>
      </c>
      <c r="F45" s="8" t="s">
        <v>11</v>
      </c>
      <c r="G45" s="8" t="s">
        <v>12</v>
      </c>
      <c r="H45" s="8" t="s">
        <v>13</v>
      </c>
      <c r="I45" s="19">
        <v>460.58</v>
      </c>
      <c r="J45" s="9">
        <f>K45*I45</f>
        <v>165808.79999999999</v>
      </c>
      <c r="K45" s="8">
        <f>SUM(M45:AN45)</f>
        <v>360</v>
      </c>
      <c r="M45" s="18"/>
      <c r="N45" s="18"/>
      <c r="P45" s="18"/>
      <c r="Q45" s="18"/>
      <c r="R45" s="18"/>
      <c r="S45" s="18"/>
      <c r="T45" s="18"/>
      <c r="U45" s="18"/>
      <c r="V45" s="11">
        <v>20</v>
      </c>
      <c r="W45" s="11">
        <v>20</v>
      </c>
      <c r="X45" s="11">
        <v>20</v>
      </c>
      <c r="Y45" s="11">
        <v>20</v>
      </c>
      <c r="Z45" s="11">
        <v>20</v>
      </c>
      <c r="AA45" s="11">
        <v>20</v>
      </c>
      <c r="AC45" s="11">
        <v>20</v>
      </c>
      <c r="AD45" s="11">
        <v>20</v>
      </c>
      <c r="AE45" s="11">
        <v>20</v>
      </c>
      <c r="AF45" s="11">
        <v>20</v>
      </c>
      <c r="AG45" s="11">
        <v>20</v>
      </c>
      <c r="AH45" s="11">
        <v>20</v>
      </c>
      <c r="AI45" s="11">
        <v>20</v>
      </c>
      <c r="AJ45" s="11">
        <v>20</v>
      </c>
      <c r="AK45" s="11">
        <v>20</v>
      </c>
      <c r="AL45" s="11">
        <v>20</v>
      </c>
      <c r="AM45" s="11">
        <v>20</v>
      </c>
      <c r="AN45" s="11">
        <v>20</v>
      </c>
    </row>
    <row r="46" spans="1:40" ht="18.75" x14ac:dyDescent="0.25">
      <c r="B46" s="61"/>
      <c r="C46" s="7" t="s">
        <v>63</v>
      </c>
      <c r="D46" s="7" t="s">
        <v>26</v>
      </c>
      <c r="E46" s="7" t="s">
        <v>64</v>
      </c>
      <c r="F46" s="8" t="s">
        <v>11</v>
      </c>
      <c r="G46" s="8" t="s">
        <v>12</v>
      </c>
      <c r="H46" s="8" t="s">
        <v>13</v>
      </c>
      <c r="I46" s="19">
        <v>414</v>
      </c>
      <c r="J46" s="9">
        <f>K46*I46</f>
        <v>198720</v>
      </c>
      <c r="K46" s="8">
        <f>SUM(M46:AN46)</f>
        <v>480</v>
      </c>
      <c r="M46" s="18"/>
      <c r="N46" s="18"/>
      <c r="P46" s="11">
        <v>40</v>
      </c>
      <c r="Q46" s="11">
        <v>40</v>
      </c>
      <c r="R46" s="11">
        <v>40</v>
      </c>
      <c r="S46" s="11">
        <v>40</v>
      </c>
      <c r="T46" s="11">
        <v>40</v>
      </c>
      <c r="U46" s="11">
        <v>40</v>
      </c>
      <c r="V46" s="11">
        <v>40</v>
      </c>
      <c r="W46" s="11">
        <v>40</v>
      </c>
      <c r="X46" s="11">
        <v>40</v>
      </c>
      <c r="Y46" s="11">
        <v>40</v>
      </c>
      <c r="Z46" s="11">
        <v>40</v>
      </c>
      <c r="AA46" s="11">
        <v>40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40" ht="18.75" x14ac:dyDescent="0.25">
      <c r="B47" s="37"/>
      <c r="C47" s="38" t="s">
        <v>63</v>
      </c>
      <c r="D47" s="7" t="s">
        <v>26</v>
      </c>
      <c r="E47" s="38" t="s">
        <v>65</v>
      </c>
      <c r="F47" s="8" t="s">
        <v>11</v>
      </c>
      <c r="G47" s="8" t="s">
        <v>12</v>
      </c>
      <c r="H47" s="8" t="s">
        <v>13</v>
      </c>
      <c r="I47" s="19">
        <v>414</v>
      </c>
      <c r="J47" s="9">
        <f>K47*I47</f>
        <v>298080</v>
      </c>
      <c r="K47" s="8">
        <f>SUM(M47:AN47)</f>
        <v>720</v>
      </c>
      <c r="M47" s="18"/>
      <c r="N47" s="18"/>
      <c r="P47" s="18"/>
      <c r="Q47" s="18"/>
      <c r="R47" s="18"/>
      <c r="S47" s="18"/>
      <c r="T47" s="18"/>
      <c r="U47" s="18"/>
      <c r="V47" s="11">
        <v>40</v>
      </c>
      <c r="W47" s="11">
        <v>40</v>
      </c>
      <c r="X47" s="11">
        <v>40</v>
      </c>
      <c r="Y47" s="11">
        <v>40</v>
      </c>
      <c r="Z47" s="11">
        <v>40</v>
      </c>
      <c r="AA47" s="11">
        <v>40</v>
      </c>
      <c r="AC47" s="11">
        <v>40</v>
      </c>
      <c r="AD47" s="11">
        <v>40</v>
      </c>
      <c r="AE47" s="11">
        <v>40</v>
      </c>
      <c r="AF47" s="11">
        <v>40</v>
      </c>
      <c r="AG47" s="11">
        <v>40</v>
      </c>
      <c r="AH47" s="11">
        <v>40</v>
      </c>
      <c r="AI47" s="11">
        <v>40</v>
      </c>
      <c r="AJ47" s="11">
        <v>40</v>
      </c>
      <c r="AK47" s="11">
        <v>40</v>
      </c>
      <c r="AL47" s="11">
        <v>40</v>
      </c>
      <c r="AM47" s="11">
        <v>40</v>
      </c>
      <c r="AN47" s="11">
        <v>40</v>
      </c>
    </row>
    <row r="48" spans="1:40" ht="18.75" x14ac:dyDescent="0.25">
      <c r="B48" s="37"/>
      <c r="C48" s="38" t="s">
        <v>63</v>
      </c>
      <c r="D48" s="7" t="s">
        <v>26</v>
      </c>
      <c r="E48" s="38" t="s">
        <v>65</v>
      </c>
      <c r="F48" s="8" t="s">
        <v>11</v>
      </c>
      <c r="G48" s="8" t="s">
        <v>12</v>
      </c>
      <c r="H48" s="8" t="s">
        <v>13</v>
      </c>
      <c r="I48" s="19">
        <v>414</v>
      </c>
      <c r="J48" s="9">
        <f>K48*I48</f>
        <v>215280</v>
      </c>
      <c r="K48" s="8">
        <f>SUM(M48:AN48)</f>
        <v>520</v>
      </c>
      <c r="M48" s="18"/>
      <c r="N48" s="18"/>
      <c r="P48" s="18"/>
      <c r="Q48" s="18"/>
      <c r="R48" s="18"/>
      <c r="S48" s="18"/>
      <c r="T48" s="18"/>
      <c r="U48" s="18"/>
      <c r="V48" s="11">
        <v>40</v>
      </c>
      <c r="W48" s="11">
        <v>40</v>
      </c>
      <c r="X48" s="11">
        <v>40</v>
      </c>
      <c r="Y48" s="11">
        <v>40</v>
      </c>
      <c r="Z48" s="11">
        <v>40</v>
      </c>
      <c r="AA48" s="11">
        <v>40</v>
      </c>
      <c r="AC48" s="11">
        <v>40</v>
      </c>
      <c r="AD48" s="11">
        <v>40</v>
      </c>
      <c r="AE48" s="11">
        <v>20</v>
      </c>
      <c r="AF48" s="11">
        <v>20</v>
      </c>
      <c r="AG48" s="11">
        <v>20</v>
      </c>
      <c r="AH48" s="11">
        <v>20</v>
      </c>
      <c r="AI48" s="11">
        <v>20</v>
      </c>
      <c r="AJ48" s="11">
        <v>20</v>
      </c>
      <c r="AK48" s="11">
        <v>20</v>
      </c>
      <c r="AL48" s="11">
        <v>20</v>
      </c>
      <c r="AM48" s="11">
        <v>20</v>
      </c>
      <c r="AN48" s="11">
        <v>20</v>
      </c>
    </row>
    <row r="49" spans="2:40" ht="18.75" x14ac:dyDescent="0.25">
      <c r="B49" s="62" t="s">
        <v>22</v>
      </c>
      <c r="C49" s="63"/>
      <c r="D49" s="63"/>
      <c r="E49" s="63"/>
      <c r="F49" s="63"/>
      <c r="G49" s="63"/>
      <c r="H49" s="64"/>
      <c r="I49" s="12"/>
      <c r="J49" s="13">
        <f>SUM(J44:J48)</f>
        <v>997639.6</v>
      </c>
      <c r="K49" s="14">
        <f>SUM(K44:K48)</f>
        <v>2340</v>
      </c>
      <c r="M49" s="16"/>
      <c r="N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1" spans="2:40" ht="26.25" x14ac:dyDescent="0.25">
      <c r="G51" s="57" t="s">
        <v>23</v>
      </c>
      <c r="H51" s="58"/>
      <c r="I51" s="59"/>
      <c r="J51" s="13">
        <f>SUM(J8+J24+J33+J37+J14+J42+J49+J28)</f>
        <v>3834139.6</v>
      </c>
      <c r="K51" s="17">
        <f>SUM(K8+K24+K28+K49+K33+K37+K14+K42)</f>
        <v>17424</v>
      </c>
    </row>
  </sheetData>
  <mergeCells count="21">
    <mergeCell ref="P3:AN3"/>
    <mergeCell ref="P4:AA4"/>
    <mergeCell ref="M3:N3"/>
    <mergeCell ref="M4:N4"/>
    <mergeCell ref="AC4:AN4"/>
    <mergeCell ref="G51:I51"/>
    <mergeCell ref="B26:B27"/>
    <mergeCell ref="B30:B32"/>
    <mergeCell ref="B33:H33"/>
    <mergeCell ref="B35:B36"/>
    <mergeCell ref="B37:H37"/>
    <mergeCell ref="B42:H42"/>
    <mergeCell ref="B39:B41"/>
    <mergeCell ref="B44:B46"/>
    <mergeCell ref="B49:H49"/>
    <mergeCell ref="B24:I24"/>
    <mergeCell ref="B6:B7"/>
    <mergeCell ref="B8:I8"/>
    <mergeCell ref="B16:B23"/>
    <mergeCell ref="B10:B13"/>
    <mergeCell ref="B14:I14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607489C56BE4294076274EC3884E8" ma:contentTypeVersion="7" ma:contentTypeDescription="Create a new document." ma:contentTypeScope="" ma:versionID="77ec4c59fd68a3b13ea3bc3c07e952e9">
  <xsd:schema xmlns:xsd="http://www.w3.org/2001/XMLSchema" xmlns:xs="http://www.w3.org/2001/XMLSchema" xmlns:p="http://schemas.microsoft.com/office/2006/metadata/properties" xmlns:ns1="http://schemas.microsoft.com/sharepoint/v3" xmlns:ns2="230e9df3-be65-4c73-a93b-d1236ebd677e" xmlns:ns3="74c0a0e1-9981-4100-a0df-519f6493d6ce" targetNamespace="http://schemas.microsoft.com/office/2006/metadata/properties" ma:root="true" ma:fieldsID="e8fdc3b46e745899d0fc948e0d53dcd3" ns1:_="" ns2:_="" ns3:_="">
    <xsd:import namespace="http://schemas.microsoft.com/sharepoint/v3"/>
    <xsd:import namespace="230e9df3-be65-4c73-a93b-d1236ebd677e"/>
    <xsd:import namespace="74c0a0e1-9981-4100-a0df-519f6493d6c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BillingMetada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0a0e1-9981-4100-a0df-519f6493d6ce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30e9df3-be65-4c73-a93b-d1236ebd677e">E5A4VU2Q6KZT-532421191-30</_dlc_DocId>
    <_dlc_DocIdUrl xmlns="230e9df3-be65-4c73-a93b-d1236ebd677e">
      <Url>https://microsoft.sharepoint.com/teams/SEE-47530/_layouts/15/DocIdRedir.aspx?ID=E5A4VU2Q6KZT-532421191-30</Url>
      <Description>E5A4VU2Q6KZT-532421191-30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9408123-D064-41CB-A338-D971C4F5B6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EE6B0E-F264-4A9B-B232-DECB4253AF2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2581867-D8DB-4035-AA80-E7B880858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30e9df3-be65-4c73-a93b-d1236ebd677e"/>
    <ds:schemaRef ds:uri="74c0a0e1-9981-4100-a0df-519f6493d6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5324DF8-E1C8-4374-8C64-5549DE4879FC}">
  <ds:schemaRefs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purl.org/dc/elements/1.1/"/>
    <ds:schemaRef ds:uri="230e9df3-be65-4c73-a93b-d1236ebd677e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74c0a0e1-9981-4100-a0df-519f6493d6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 SRM (V2)</vt:lpstr>
      <vt:lpstr>POST SRM (V1)</vt:lpstr>
      <vt:lpstr>PRE SRM (Orig)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 Moigula</dc:creator>
  <cp:keywords/>
  <dc:description/>
  <cp:lastModifiedBy>Francis Moigula</cp:lastModifiedBy>
  <cp:revision/>
  <dcterms:created xsi:type="dcterms:W3CDTF">2020-05-20T02:54:23Z</dcterms:created>
  <dcterms:modified xsi:type="dcterms:W3CDTF">2026-06-05T13:43:29Z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2021-03-15T23:58:40Z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237df34a-4f5d-49f0-aa9a-96b91e1804bc</vt:lpwstr>
  </property>
  <property fmtid="{D5CDD505-2E9C-101B-9397-08002B2CF9AE}" pid="8" name="MSIP_Label_f42aa342-8706-4288-bd11-ebb85995028c_ContentBits">
    <vt:lpwstr>0</vt:lpwstr>
  </property>
  <property fmtid="{D5CDD505-2E9C-101B-9397-08002B2CF9AE}" pid="9" name="ContentTypeId">
    <vt:lpwstr>0x010100AFA607489C56BE4294076274EC3884E8</vt:lpwstr>
  </property>
  <property fmtid="{D5CDD505-2E9C-101B-9397-08002B2CF9AE}" pid="10" name="bc28b5f076654a3b96073bbbebfeb8c9">
    <vt:lpwstr>English|cb91f272-ce4d-4a7e-9bbf-78b58e3d188d</vt:lpwstr>
  </property>
  <property fmtid="{D5CDD505-2E9C-101B-9397-08002B2CF9AE}" pid="11" name="TaxCatchAll">
    <vt:lpwstr>1;#English|cb91f272-ce4d-4a7e-9bbf-78b58e3d188d</vt:lpwstr>
  </property>
  <property fmtid="{D5CDD505-2E9C-101B-9397-08002B2CF9AE}" pid="12" name="_dlc_DocIdItemGuid">
    <vt:lpwstr>028147a9-5cfe-4d13-9ead-38824e849c62</vt:lpwstr>
  </property>
  <property fmtid="{D5CDD505-2E9C-101B-9397-08002B2CF9AE}" pid="13" name="p7ae7c99891b404d9a873cd3c41a01e4">
    <vt:lpwstr/>
  </property>
  <property fmtid="{D5CDD505-2E9C-101B-9397-08002B2CF9AE}" pid="14" name="ServicesDomain">
    <vt:lpwstr/>
  </property>
  <property fmtid="{D5CDD505-2E9C-101B-9397-08002B2CF9AE}" pid="15" name="VerticalIndustries">
    <vt:lpwstr/>
  </property>
  <property fmtid="{D5CDD505-2E9C-101B-9397-08002B2CF9AE}" pid="16" name="ServicesBusinessScenario">
    <vt:lpwstr/>
  </property>
  <property fmtid="{D5CDD505-2E9C-101B-9397-08002B2CF9AE}" pid="17" name="p26d0941c95b4632829814c66f0e8c72">
    <vt:lpwstr/>
  </property>
  <property fmtid="{D5CDD505-2E9C-101B-9397-08002B2CF9AE}" pid="18" name="MSProducts">
    <vt:lpwstr/>
  </property>
  <property fmtid="{D5CDD505-2E9C-101B-9397-08002B2CF9AE}" pid="19" name="CodeKeywords">
    <vt:lpwstr/>
  </property>
  <property fmtid="{D5CDD505-2E9C-101B-9397-08002B2CF9AE}" pid="20" name="m74a2925250f485f9486ed3f97e2a6b3">
    <vt:lpwstr/>
  </property>
  <property fmtid="{D5CDD505-2E9C-101B-9397-08002B2CF9AE}" pid="21" name="g6775e77a6d84637a29014d883a4378a">
    <vt:lpwstr/>
  </property>
  <property fmtid="{D5CDD505-2E9C-101B-9397-08002B2CF9AE}" pid="22" name="af1f5bfae61e4243aac9966cb19580e1">
    <vt:lpwstr/>
  </property>
  <property fmtid="{D5CDD505-2E9C-101B-9397-08002B2CF9AE}" pid="23" name="MSProductsTaxHTField0">
    <vt:lpwstr/>
  </property>
  <property fmtid="{D5CDD505-2E9C-101B-9397-08002B2CF9AE}" pid="24" name="ServicesCommunities">
    <vt:lpwstr/>
  </property>
  <property fmtid="{D5CDD505-2E9C-101B-9397-08002B2CF9AE}" pid="25" name="DevelopmentLanguages">
    <vt:lpwstr/>
  </property>
  <property fmtid="{D5CDD505-2E9C-101B-9397-08002B2CF9AE}" pid="26" name="MSLanguage">
    <vt:lpwstr>1;#English|cb91f272-ce4d-4a7e-9bbf-78b58e3d188d</vt:lpwstr>
  </property>
  <property fmtid="{D5CDD505-2E9C-101B-9397-08002B2CF9AE}" pid="27" name="fbc3fc07245d4d4d97685e71074b9827">
    <vt:lpwstr/>
  </property>
  <property fmtid="{D5CDD505-2E9C-101B-9397-08002B2CF9AE}" pid="28" name="oad7af80ad0f4ba99bb03b3894ab533c">
    <vt:lpwstr/>
  </property>
  <property fmtid="{D5CDD505-2E9C-101B-9397-08002B2CF9AE}" pid="29" name="ServicesIPTypes">
    <vt:lpwstr/>
  </property>
</Properties>
</file>